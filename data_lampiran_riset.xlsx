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3_Utama" sheetId="2" state="visible" r:id="rId4"/>
    <sheet name="V1_Zona_Awal" sheetId="3" state="visible" r:id="rId5"/>
    <sheet name="V2_Ditolak" sheetId="4" state="visible" r:id="rId6"/>
    <sheet name="Titik_Lapangan" sheetId="5" state="visible" r:id="rId7"/>
    <sheet name="Ringkasan" sheetId="6" state="visible" r:id="rId8"/>
    <sheet name="Musim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<sst xmlns="http://schemas.openxmlformats.org/spreadsheetml/2006/main" count="1308" uniqueCount="218">
  <si>
    <t xml:space="preserve">Lampiran Data Riset Bona Project: Kualitas Air Danau Toba (Sentinel-2)</t>
  </si>
  <si>
    <t xml:space="preserve">Disusun 12 Oktober 2026 dari ekspor Google Earth Engine tim (7 Oktober 2026). Semua angka indeks bersifat RELATIF, bukan mg/m3 atau NTU.</t>
  </si>
  <si>
    <t xml:space="preserve">Sheet</t>
  </si>
  <si>
    <t xml:space="preserve">Isi</t>
  </si>
  <si>
    <t xml:space="preserve">V3_Utama</t>
  </si>
  <si>
    <t xml:space="preserve">Versi data yang dipakai untuk interpretasi. KJA = Paropo (lon 98,522 sampai 98,531; lat 2,80 sampai 2,89). Referensi = lon 98,80 sampai 98,86; lat 2,66 sampai 2,72 (perlu cek visual).</t>
  </si>
  <si>
    <t xml:space="preserve">V1_Zona_Awal</t>
  </si>
  <si>
    <t xml:space="preserve">Versi pertama dengan kotak zona perkiraan (bukan lokasi keramba terverifikasi). Disimpan sebagai pembanding saja.</t>
  </si>
  <si>
    <t xml:space="preserve">V2_Ditolak</t>
  </si>
  <si>
    <t xml:space="preserve">Versi dengan kotak referensi selatan (lon 98,82 sampai 98,88; lat 2,50 sampai 2,56). DITOLAK: referensi terkontaminasi, 40 dari 66 bulan TURB &gt; 100.</t>
  </si>
  <si>
    <t xml:space="preserve">Titik_Lapangan</t>
  </si>
  <si>
    <t xml:space="preserve">Nilai satelit di titik tepian Balige, komposit Juli 2025, buffer 30 m. Dua versi titik.</t>
  </si>
  <si>
    <t xml:space="preserve">Ringkasan</t>
  </si>
  <si>
    <t xml:space="preserve">Statistik per versi (rumus) dan hasil uji statistik (dihitung dengan Python scipy).</t>
  </si>
  <si>
    <t xml:space="preserve">Musiman</t>
  </si>
  <si>
    <t xml:space="preserve">Median NDCI per bulan kalender dari V3 yang lolos QC (rumus).</t>
  </si>
  <si>
    <t xml:space="preserve">Kolom</t>
  </si>
  <si>
    <t xml:space="preserve">Arti</t>
  </si>
  <si>
    <t xml:space="preserve">date</t>
  </si>
  <si>
    <t xml:space="preserve">Bulan komposit (YYYY-MM). Satu nilai = median semua citra bebas awan di bulan itu.</t>
  </si>
  <si>
    <t xml:space="preserve">zone</t>
  </si>
  <si>
    <t xml:space="preserve">KJA (zona keramba) atau Reference (zona pembanding).</t>
  </si>
  <si>
    <t xml:space="preserve">NDCI</t>
  </si>
  <si>
    <t xml:space="preserve">Normalized Difference Chlorophyll Index = (B5 - B4)/(B5 + B4). Makin tinggi = indikasi klorofil-a (alga) makin banyak. Rata-rata seluruh piksel air dalam kotak.</t>
  </si>
  <si>
    <t xml:space="preserve">TURB</t>
  </si>
  <si>
    <t xml:space="preserve">Proksi kekeruhan = reflektansi band merah B4 x 1000. Air jernih sekitar 5 sampai 40. Di atas 100 hampir pasti tercampur awan, kabut, atau daratan.</t>
  </si>
  <si>
    <t xml:space="preserve">n_images</t>
  </si>
  <si>
    <t xml:space="preserve">Jumlah citra Sentinel-2 bulan itu (sebelum masker awan per piksel). 0 = tidak ada data.</t>
  </si>
  <si>
    <t xml:space="preserve">QC_lolos</t>
  </si>
  <si>
    <t xml:space="preserve">TRUE bila NDCI ada, TURB &lt;= 100, dan n_images &gt;= 2. Hanya baris TRUE dipakai di analisis.</t>
  </si>
  <si>
    <t xml:space="preserve">Sumber file asli di Google Drive (folder My Drive):</t>
  </si>
  <si>
    <t xml:space="preserve">V3</t>
  </si>
  <si>
    <t xml:space="preserve">https://drive.google.com/file/d/1b_0Q5HlWY4NfYrzjWY08WV9zTJo7HtMb/view (identik dengan 1GcGhze4Jbh1P5YxNwWfroDI9NP-a73BU)</t>
  </si>
  <si>
    <t xml:space="preserve">V2</t>
  </si>
  <si>
    <t xml:space="preserve">https://drive.google.com/file/d/1yXiGc5Gnazpa-Bose4DyeKXM-xyntYzF/view</t>
  </si>
  <si>
    <t xml:space="preserve">V1</t>
  </si>
  <si>
    <t xml:space="preserve">https://drive.google.com/file/d/1g52wovvCVMzjGPqYC0llHI7yytGC0Tck/view (versi sampai Des 2025: 1W6YrURNq2lhRsRCjc3qSvwjoX95MHX4I)</t>
  </si>
  <si>
    <t xml:space="preserve">Titik lapangan</t>
  </si>
  <si>
    <t xml:space="preserve">https://drive.google.com/file/d/1RO-ELpeTa7gLdr7mtB0ugAx6dfGlviht/view dan versi lama 176MAScnk7Ie8GS9Vk1pb7cUkuNif8A3y</t>
  </si>
  <si>
    <t xml:space="preserve">tahun</t>
  </si>
  <si>
    <t xml:space="preserve">bulan</t>
  </si>
  <si>
    <t xml:space="preserve">Versi utama untuk interpretasi.</t>
  </si>
  <si>
    <t xml:space="preserve">2019-01</t>
  </si>
  <si>
    <t xml:space="preserve">KJA</t>
  </si>
  <si>
    <t xml:space="preserve">Reference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</si>
  <si>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</si>
  <si>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</si>
  <si>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</si>
  <si>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</si>
  <si>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</si>
  <si>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</si>
  <si>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</si>
  <si>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</si>
  <si>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</si>
  <si>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</si>
  <si>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</si>
  <si>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</si>
  <si>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</si>
  <si>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</si>
  <si>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</si>
  <si>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</si>
  <si>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</si>
  <si>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</si>
  <si>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</si>
  <si>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</si>
  <si>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</si>
  <si>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</si>
  <si>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</si>
  <si>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</si>
  <si>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</si>
  <si>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</si>
  <si>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</si>
  <si>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</si>
  <si>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</si>
  <si>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</si>
  <si>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</si>
  <si>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</si>
  <si>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</si>
  <si>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</si>
  <si>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</si>
  <si>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</si>
  <si>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</si>
  <si>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</si>
  <si>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</si>
  <si>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</si>
  <si>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</si>
  <si>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</si>
  <si>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</si>
  <si>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</si>
  <si>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</si>
  <si>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</si>
  <si>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</si>
  <si>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</si>
  <si>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</si>
  <si>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</si>
  <si>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</si>
  <si>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</si>
  <si>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</si>
  <si>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</si>
  <si>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</si>
  <si>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</si>
  <si>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</si>
  <si>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</si>
  <si>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</si>
  <si>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</si>
  <si>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</si>
  <si>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</si>
  <si>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</si>
  <si>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</si>
  <si>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</si>
  <si>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</si>
  <si>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</si>
  <si>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</si>
  <si>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</si>
  <si>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</si>
  <si>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</si>
  <si>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</si>
  <si>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</si>
  <si>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</si>
  <si>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</si>
  <si>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</si>
  <si>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</si>
  <si>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</si>
  <si>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</si>
  <si>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</si>
  <si>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</si>
  <si>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</si>
  <si>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</si>
  <si>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</si>
  <si>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</si>
  <si>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</si>
  <si>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</si>
  <si>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</si>
  <si>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</si>
  <si>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</si>
  <si>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</si>
  <si>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</si>
  <si>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</si>
  <si>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Zona perkiraan awal. Pembanding saja.</t>
  </si>
  <si>
    <t xml:space="preserve">DITOLAK: referensi terkontaminasi (TURB tinggi).</t>
  </si>
  <si>
    <t xml:space="preserve">versi</t>
  </si>
  <si>
    <t xml:space="preserve">titik</t>
  </si>
  <si>
    <t xml:space="preserve">tipe</t>
  </si>
  <si>
    <t xml:space="preserve">lat</t>
  </si>
  <si>
    <t xml:space="preserve">lon</t>
  </si>
  <si>
    <t xml:space="preserve">catatan</t>
  </si>
  <si>
    <t xml:space="preserve">baru (buffer 30 m)</t>
  </si>
  <si>
    <t xml:space="preserve">Muara Pantai Mulia Raja</t>
  </si>
  <si>
    <t xml:space="preserve">impacted</t>
  </si>
  <si>
    <t xml:space="preserve">Pelabuhan Balige</t>
  </si>
  <si>
    <t xml:space="preserve">tertinggi; cek pengaruh dermaga dan kapal</t>
  </si>
  <si>
    <t xml:space="preserve">Tepi Danau Bistro</t>
  </si>
  <si>
    <t xml:space="preserve">shore</t>
  </si>
  <si>
    <t xml:space="preserve">Tepi Danau Damar</t>
  </si>
  <si>
    <t xml:space="preserve">lama (titik, tanpa buffer)</t>
  </si>
  <si>
    <t xml:space="preserve">Pantai Bul Bul</t>
  </si>
  <si>
    <t xml:space="preserve">kosong: titik jatuh di darat</t>
  </si>
  <si>
    <t xml:space="preserve">Pelabuhan Onan Balige</t>
  </si>
  <si>
    <t xml:space="preserve">Lumban Silintong</t>
  </si>
  <si>
    <t xml:space="preserve">Desa Meat</t>
  </si>
  <si>
    <t xml:space="preserve">Sitoluama dekat IT Del</t>
  </si>
  <si>
    <t xml:space="preserve">Komposit Juli 2025 (VISIT_START 2025-07-01 sampai 2025-07-31). Satu nilai per titik, belum ada ulangan.</t>
  </si>
  <si>
    <t xml:space="preserve">Ringkasan per versi (rumus, hanya baris QC_lolos = TRUE)</t>
  </si>
  <si>
    <t xml:space="preserve">Versi</t>
  </si>
  <si>
    <t xml:space="preserve">Zona</t>
  </si>
  <si>
    <t xml:space="preserve">Bulan lolos QC</t>
  </si>
  <si>
    <t xml:space="preserve">Median NDCI</t>
  </si>
  <si>
    <t xml:space="preserve">Rata-rata NDCI</t>
  </si>
  <si>
    <t xml:space="preserve">Median TURB</t>
  </si>
  <si>
    <t xml:space="preserve">Hasil uji statistik (dihitung dengan Python scipy pada baris QC_lolos; skrip analyze.py, analyze2.py)</t>
  </si>
  <si>
    <t xml:space="preserve">Uji</t>
  </si>
  <si>
    <t xml:space="preserve">Data</t>
  </si>
  <si>
    <t xml:space="preserve">Hasil</t>
  </si>
  <si>
    <t xml:space="preserve">Wilcoxon berpasangan KJA vs Ref</t>
  </si>
  <si>
    <t xml:space="preserve">V3, 71 bulan berpasangan</t>
  </si>
  <si>
    <t xml:space="preserve">median selisih +0,0005; KJA &gt; Ref di 36/71 bulan (51%); p = 0,66</t>
  </si>
  <si>
    <t xml:space="preserve">Tidak ada beda bermakna antarzona</t>
  </si>
  <si>
    <t xml:space="preserve">V1, 67 bulan</t>
  </si>
  <si>
    <t xml:space="preserve">median selisih +0,0059; KJA &gt; Ref di 40/67 (60%); p = 0,27</t>
  </si>
  <si>
    <t xml:space="preserve">Tidak bermakna; zona KJA V1 bukan lokasi keramba terverifikasi</t>
  </si>
  <si>
    <t xml:space="preserve">V2, 23 bulan</t>
  </si>
  <si>
    <t xml:space="preserve">KJA &lt; Ref; p &lt; 0,001</t>
  </si>
  <si>
    <t xml:space="preserve">DITOLAK: referensi terkontaminasi</t>
  </si>
  <si>
    <t xml:space="preserve">Kruskal-Wallis antarmusim</t>
  </si>
  <si>
    <t xml:space="preserve">V3 KJA</t>
  </si>
  <si>
    <t xml:space="preserve">p = 0,077</t>
  </si>
  <si>
    <t xml:space="preserve">Belum bermakna (batas 0,05)</t>
  </si>
  <si>
    <t xml:space="preserve">V3 Ref</t>
  </si>
  <si>
    <t xml:space="preserve">p = 0,31</t>
  </si>
  <si>
    <t xml:space="preserve">Tidak bermakna</t>
  </si>
  <si>
    <t xml:space="preserve">Tren Mann-Kendall + Sen slope</t>
  </si>
  <si>
    <t xml:space="preserve">tau +0,13; p = 0,11; +0,0015 per tahun (CI -0,0004 sampai +0,0036)</t>
  </si>
  <si>
    <t xml:space="preserve">Arah naik, belum bermakna</t>
  </si>
  <si>
    <t xml:space="preserve">tau +0,09; p = 0,27; +0,0014 per tahun</t>
  </si>
  <si>
    <t xml:space="preserve">Spearman NDCI vs TURB</t>
  </si>
  <si>
    <t xml:space="preserve">r = 0,46; p &lt; 0,001</t>
  </si>
  <si>
    <t xml:space="preserve">NDCI zona KJA ikut naik saat keruh; waspada efek tepi atau sedimen</t>
  </si>
  <si>
    <t xml:space="preserve">r = 0,13; p = 0,28</t>
  </si>
  <si>
    <t xml:space="preserve">Tidak berhubungan</t>
  </si>
  <si>
    <t xml:space="preserve">Juni 2025 KJA</t>
  </si>
  <si>
    <t xml:space="preserve">NDCI 0,0621; persentil 98,6 dari seluruh bulan KJA; 14 citra</t>
  </si>
  <si>
    <t xml:space="preserve">Lonjakan 1 sampai 2 bulan sebelum laporan ikan mati 2 Agu 2025; referensi juga naik (0,038)</t>
  </si>
  <si>
    <t xml:space="preserve">Bulan</t>
  </si>
  <si>
    <t xml:space="preserve">Median NDCI KJA</t>
  </si>
  <si>
    <t xml:space="preserve">Median NDCI Referensi</t>
  </si>
  <si>
    <t xml:space="preserve">n bulan KJA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</si>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</sst>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8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1" t="s">
        <v>1</v>
      </c>
      <c r="B2" s="1"/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2" t="s">
        <v>2</v>
      </c>
      <c r="B4" s="2" t="s">
        <v>3</v>
      </c>
    </row>
    <row r="5" customFormat="false" ht="15" hidden="false" customHeight="false" outlineLevel="0" collapsed="false">
      <c r="A5" s="1" t="s">
        <v>4</v>
      </c>
      <c r="B5" s="1" t="s">
        <v>5</v>
      </c>
    </row>
    <row r="6" customFormat="false" ht="15" hidden="false" customHeight="false" outlineLevel="0" collapsed="false">
      <c r="A6" s="1" t="s">
        <v>6</v>
      </c>
      <c r="B6" s="1" t="s">
        <v>7</v>
      </c>
    </row>
    <row r="7" customFormat="false" ht="15" hidden="false" customHeight="false" outlineLevel="0" collapsed="false">
      <c r="A7" s="1" t="s">
        <v>8</v>
      </c>
      <c r="B7" s="1" t="s">
        <v>9</v>
      </c>
    </row>
    <row r="8" customFormat="false" ht="15" hidden="false" customHeight="false" outlineLevel="0" collapsed="false">
      <c r="A8" s="1" t="s">
        <v>10</v>
      </c>
      <c r="B8" s="1" t="s">
        <v>11</v>
      </c>
    </row>
    <row r="9" customFormat="false" ht="15" hidden="false" customHeight="false" outlineLevel="0" collapsed="false">
      <c r="A9" s="1" t="s">
        <v>12</v>
      </c>
      <c r="B9" s="1" t="s">
        <v>13</v>
      </c>
    </row>
    <row r="10" customFormat="false" ht="15" hidden="false" customHeight="false" outlineLevel="0" collapsed="false">
      <c r="A10" s="1" t="s">
        <v>14</v>
      </c>
      <c r="B10" s="1" t="s">
        <v>15</v>
      </c>
    </row>
    <row r="11" customFormat="false" ht="15" hidden="false" customHeight="false" outlineLevel="0" collapsed="false">
      <c r="A11" s="1"/>
      <c r="B11" s="1"/>
    </row>
    <row r="12" customFormat="false" ht="15" hidden="false" customHeight="false" outlineLevel="0" collapsed="false">
      <c r="A12" s="2" t="s">
        <v>16</v>
      </c>
      <c r="B12" s="2" t="s">
        <v>17</v>
      </c>
    </row>
    <row r="13" customFormat="false" ht="15" hidden="false" customHeight="false" outlineLevel="0" collapsed="false">
      <c r="A13" s="1" t="s">
        <v>18</v>
      </c>
      <c r="B13" s="1" t="s">
        <v>19</v>
      </c>
    </row>
    <row r="14" customFormat="false" ht="15" hidden="false" customHeight="false" outlineLevel="0" collapsed="false">
      <c r="A14" s="1" t="s">
        <v>20</v>
      </c>
      <c r="B14" s="1" t="s">
        <v>21</v>
      </c>
    </row>
    <row r="15" customFormat="false" ht="15" hidden="false" customHeight="false" outlineLevel="0" collapsed="false">
      <c r="A15" s="1" t="s">
        <v>22</v>
      </c>
      <c r="B15" s="1" t="s">
        <v>23</v>
      </c>
    </row>
    <row r="16" customFormat="false" ht="15" hidden="false" customHeight="false" outlineLevel="0" collapsed="false">
      <c r="A16" s="1" t="s">
        <v>24</v>
      </c>
      <c r="B16" s="1" t="s">
        <v>25</v>
      </c>
    </row>
    <row r="17" customFormat="false" ht="15" hidden="false" customHeight="false" outlineLevel="0" collapsed="false">
      <c r="A17" s="1" t="s">
        <v>26</v>
      </c>
      <c r="B17" s="1" t="s">
        <v>27</v>
      </c>
    </row>
    <row r="18" customFormat="false" ht="15" hidden="false" customHeight="false" outlineLevel="0" collapsed="false">
      <c r="A18" s="1" t="s">
        <v>28</v>
      </c>
      <c r="B18" s="1" t="s">
        <v>29</v>
      </c>
    </row>
    <row r="19" customFormat="false" ht="15" hidden="false" customHeight="false" outlineLevel="0" collapsed="false">
      <c r="A19" s="1"/>
      <c r="B19" s="1"/>
    </row>
    <row r="20" customFormat="false" ht="15" hidden="false" customHeight="false" outlineLevel="0" collapsed="false">
      <c r="A20" s="1" t="s">
        <v>30</v>
      </c>
      <c r="B20" s="1"/>
    </row>
    <row r="21" customFormat="false" ht="15" hidden="false" customHeight="false" outlineLevel="0" collapsed="false">
      <c r="A21" s="1" t="s">
        <v>31</v>
      </c>
      <c r="B21" s="1" t="s">
        <v>32</v>
      </c>
    </row>
    <row r="22" customFormat="false" ht="15" hidden="false" customHeight="false" outlineLevel="0" collapsed="false">
      <c r="A22" s="1" t="s">
        <v>33</v>
      </c>
      <c r="B22" s="1" t="s">
        <v>34</v>
      </c>
    </row>
    <row r="23" customFormat="false" ht="15" hidden="false" customHeight="false" outlineLevel="0" collapsed="false">
      <c r="A23" s="1" t="s">
        <v>35</v>
      </c>
      <c r="B23" s="1" t="s">
        <v>36</v>
      </c>
    </row>
    <row r="24" customFormat="false" ht="15" hidden="false" customHeight="false" outlineLevel="0" collapsed="false">
      <c r="A24" s="1" t="s">
        <v>37</v>
      </c>
      <c r="B24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2" t="s">
        <v>18</v>
      </c>
      <c r="B1" s="2" t="s">
        <v>39</v>
      </c>
      <c r="C1" s="2" t="s">
        <v>40</v>
      </c>
      <c r="D1" s="2" t="s">
        <v>20</v>
      </c>
      <c r="E1" s="2" t="s">
        <v>22</v>
      </c>
      <c r="F1" s="2" t="s">
        <v>24</v>
      </c>
      <c r="G1" s="2" t="s">
        <v>26</v>
      </c>
      <c r="H1" s="2" t="s">
        <v>28</v>
      </c>
      <c r="J1" s="3" t="s">
        <v>41</v>
      </c>
    </row>
    <row r="2" customFormat="false" ht="15" hidden="false" customHeight="false" outlineLevel="0" collapsed="false">
      <c r="A2" s="1" t="s">
        <v>42</v>
      </c>
      <c r="B2" s="1" t="n">
        <f aca="false">VALUE(LEFT(A2,4))</f>
        <v>2019</v>
      </c>
      <c r="C2" s="1" t="n">
        <f aca="false">VALUE(RIGHT(A2,2))</f>
        <v>1</v>
      </c>
      <c r="D2" s="1" t="s">
        <v>43</v>
      </c>
      <c r="E2" s="1" t="n">
        <v>0.04955</v>
      </c>
      <c r="F2" s="1" t="n">
        <v>31.35</v>
      </c>
      <c r="G2" s="1" t="n">
        <v>7</v>
      </c>
      <c r="H2" s="4" t="b">
        <f aca="false">AND(E2&lt;&gt;"",F2&lt;=100,G2&gt;=2)</f>
        <v>1</v>
      </c>
    </row>
    <row r="3" customFormat="false" ht="15" hidden="false" customHeight="false" outlineLevel="0" collapsed="false">
      <c r="A3" s="1" t="s">
        <v>42</v>
      </c>
      <c r="B3" s="1" t="n">
        <f aca="false">VALUE(LEFT(A3,4))</f>
        <v>2019</v>
      </c>
      <c r="C3" s="1" t="n">
        <f aca="false">VALUE(RIGHT(A3,2))</f>
        <v>1</v>
      </c>
      <c r="D3" s="1" t="s">
        <v>44</v>
      </c>
      <c r="E3" s="1" t="n">
        <v>0.044129</v>
      </c>
      <c r="F3" s="1" t="n">
        <v>37.592</v>
      </c>
      <c r="G3" s="1" t="n">
        <v>7</v>
      </c>
      <c r="H3" s="4" t="b">
        <f aca="false">AND(E3&lt;&gt;"",F3&lt;=100,G3&gt;=2)</f>
        <v>1</v>
      </c>
    </row>
    <row r="4" customFormat="false" ht="15" hidden="false" customHeight="false" outlineLevel="0" collapsed="false">
      <c r="A4" s="1" t="s">
        <v>45</v>
      </c>
      <c r="B4" s="1" t="n">
        <f aca="false">VALUE(LEFT(A4,4))</f>
        <v>2019</v>
      </c>
      <c r="C4" s="1" t="n">
        <f aca="false">VALUE(RIGHT(A4,2))</f>
        <v>2</v>
      </c>
      <c r="D4" s="1" t="s">
        <v>43</v>
      </c>
      <c r="E4" s="1" t="n">
        <v>0.007938</v>
      </c>
      <c r="F4" s="1" t="n">
        <v>23.965</v>
      </c>
      <c r="G4" s="1" t="n">
        <v>15</v>
      </c>
      <c r="H4" s="4" t="b">
        <f aca="false">AND(E4&lt;&gt;"",F4&lt;=100,G4&gt;=2)</f>
        <v>1</v>
      </c>
    </row>
    <row r="5" customFormat="false" ht="15" hidden="false" customHeight="false" outlineLevel="0" collapsed="false">
      <c r="A5" s="1" t="s">
        <v>45</v>
      </c>
      <c r="B5" s="1" t="n">
        <f aca="false">VALUE(LEFT(A5,4))</f>
        <v>2019</v>
      </c>
      <c r="C5" s="1" t="n">
        <f aca="false">VALUE(RIGHT(A5,2))</f>
        <v>2</v>
      </c>
      <c r="D5" s="1" t="s">
        <v>44</v>
      </c>
      <c r="E5" s="1" t="n">
        <v>0.011232</v>
      </c>
      <c r="F5" s="1" t="n">
        <v>38.206</v>
      </c>
      <c r="G5" s="1" t="n">
        <v>15</v>
      </c>
      <c r="H5" s="4" t="b">
        <f aca="false">AND(E5&lt;&gt;"",F5&lt;=100,G5&gt;=2)</f>
        <v>1</v>
      </c>
    </row>
    <row r="6" customFormat="false" ht="15" hidden="false" customHeight="false" outlineLevel="0" collapsed="false">
      <c r="A6" s="1" t="s">
        <v>46</v>
      </c>
      <c r="B6" s="1" t="n">
        <f aca="false">VALUE(LEFT(A6,4))</f>
        <v>2019</v>
      </c>
      <c r="C6" s="1" t="n">
        <f aca="false">VALUE(RIGHT(A6,2))</f>
        <v>3</v>
      </c>
      <c r="D6" s="1" t="s">
        <v>43</v>
      </c>
      <c r="E6" s="1" t="n">
        <v>0.021139</v>
      </c>
      <c r="F6" s="1" t="n">
        <v>25.434</v>
      </c>
      <c r="G6" s="1" t="n">
        <v>18</v>
      </c>
      <c r="H6" s="4" t="b">
        <f aca="false">AND(E6&lt;&gt;"",F6&lt;=100,G6&gt;=2)</f>
        <v>1</v>
      </c>
    </row>
    <row r="7" customFormat="false" ht="15" hidden="false" customHeight="false" outlineLevel="0" collapsed="false">
      <c r="A7" s="1" t="s">
        <v>46</v>
      </c>
      <c r="B7" s="1" t="n">
        <f aca="false">VALUE(LEFT(A7,4))</f>
        <v>2019</v>
      </c>
      <c r="C7" s="1" t="n">
        <f aca="false">VALUE(RIGHT(A7,2))</f>
        <v>3</v>
      </c>
      <c r="D7" s="1" t="s">
        <v>44</v>
      </c>
      <c r="E7" s="1" t="n">
        <v>-0.003695</v>
      </c>
      <c r="F7" s="1" t="n">
        <v>20.3</v>
      </c>
      <c r="G7" s="1" t="n">
        <v>18</v>
      </c>
      <c r="H7" s="4" t="b">
        <f aca="false">AND(E7&lt;&gt;"",F7&lt;=100,G7&gt;=2)</f>
        <v>1</v>
      </c>
    </row>
    <row r="8" customFormat="false" ht="15" hidden="false" customHeight="false" outlineLevel="0" collapsed="false">
      <c r="A8" s="1" t="s">
        <v>47</v>
      </c>
      <c r="B8" s="1" t="n">
        <f aca="false">VALUE(LEFT(A8,4))</f>
        <v>2019</v>
      </c>
      <c r="C8" s="1" t="n">
        <f aca="false">VALUE(RIGHT(A8,2))</f>
        <v>4</v>
      </c>
      <c r="D8" s="1" t="s">
        <v>43</v>
      </c>
      <c r="E8" s="1" t="n">
        <v>-0.051617</v>
      </c>
      <c r="F8" s="1" t="n">
        <v>14.613</v>
      </c>
      <c r="G8" s="1" t="n">
        <v>5</v>
      </c>
      <c r="H8" s="4" t="b">
        <f aca="false">AND(E8&lt;&gt;"",F8&lt;=100,G8&gt;=2)</f>
        <v>1</v>
      </c>
    </row>
    <row r="9" customFormat="false" ht="15" hidden="false" customHeight="false" outlineLevel="0" collapsed="false">
      <c r="A9" s="1" t="s">
        <v>47</v>
      </c>
      <c r="B9" s="1" t="n">
        <f aca="false">VALUE(LEFT(A9,4))</f>
        <v>2019</v>
      </c>
      <c r="C9" s="1" t="n">
        <f aca="false">VALUE(RIGHT(A9,2))</f>
        <v>4</v>
      </c>
      <c r="D9" s="1" t="s">
        <v>44</v>
      </c>
      <c r="E9" s="1" t="n">
        <v>-0.024626</v>
      </c>
      <c r="F9" s="1" t="n">
        <v>24.849</v>
      </c>
      <c r="G9" s="1" t="n">
        <v>5</v>
      </c>
      <c r="H9" s="4" t="b">
        <f aca="false">AND(E9&lt;&gt;"",F9&lt;=100,G9&gt;=2)</f>
        <v>1</v>
      </c>
    </row>
    <row r="10" customFormat="false" ht="15" hidden="false" customHeight="false" outlineLevel="0" collapsed="false">
      <c r="A10" s="1" t="s">
        <v>48</v>
      </c>
      <c r="B10" s="1" t="n">
        <f aca="false">VALUE(LEFT(A10,4))</f>
        <v>2019</v>
      </c>
      <c r="C10" s="1" t="n">
        <f aca="false">VALUE(RIGHT(A10,2))</f>
        <v>5</v>
      </c>
      <c r="D10" s="1" t="s">
        <v>43</v>
      </c>
      <c r="E10" s="1" t="n">
        <v>-0.01175</v>
      </c>
      <c r="F10" s="1" t="n">
        <v>14.712</v>
      </c>
      <c r="G10" s="1" t="n">
        <v>8</v>
      </c>
      <c r="H10" s="4" t="b">
        <f aca="false">AND(E10&lt;&gt;"",F10&lt;=100,G10&gt;=2)</f>
        <v>1</v>
      </c>
    </row>
    <row r="11" customFormat="false" ht="15" hidden="false" customHeight="false" outlineLevel="0" collapsed="false">
      <c r="A11" s="1" t="s">
        <v>48</v>
      </c>
      <c r="B11" s="1" t="n">
        <f aca="false">VALUE(LEFT(A11,4))</f>
        <v>2019</v>
      </c>
      <c r="C11" s="1" t="n">
        <f aca="false">VALUE(RIGHT(A11,2))</f>
        <v>5</v>
      </c>
      <c r="D11" s="1" t="s">
        <v>44</v>
      </c>
      <c r="E11" s="1" t="n">
        <v>0.028593</v>
      </c>
      <c r="F11" s="1" t="n">
        <v>20.283</v>
      </c>
      <c r="G11" s="1" t="n">
        <v>8</v>
      </c>
      <c r="H11" s="4" t="b">
        <f aca="false">AND(E11&lt;&gt;"",F11&lt;=100,G11&gt;=2)</f>
        <v>1</v>
      </c>
    </row>
    <row r="12" customFormat="false" ht="15" hidden="false" customHeight="false" outlineLevel="0" collapsed="false">
      <c r="A12" s="1" t="s">
        <v>49</v>
      </c>
      <c r="B12" s="1" t="n">
        <f aca="false">VALUE(LEFT(A12,4))</f>
        <v>2019</v>
      </c>
      <c r="C12" s="1" t="n">
        <f aca="false">VALUE(RIGHT(A12,2))</f>
        <v>6</v>
      </c>
      <c r="D12" s="1" t="s">
        <v>43</v>
      </c>
      <c r="E12" s="1" t="n">
        <v>0.05757</v>
      </c>
      <c r="F12" s="1" t="n">
        <v>19.551</v>
      </c>
      <c r="G12" s="1" t="n">
        <v>3</v>
      </c>
      <c r="H12" s="4" t="b">
        <f aca="false">AND(E12&lt;&gt;"",F12&lt;=100,G12&gt;=2)</f>
        <v>1</v>
      </c>
    </row>
    <row r="13" customFormat="false" ht="15" hidden="false" customHeight="false" outlineLevel="0" collapsed="false">
      <c r="A13" s="1" t="s">
        <v>49</v>
      </c>
      <c r="B13" s="1" t="n">
        <f aca="false">VALUE(LEFT(A13,4))</f>
        <v>2019</v>
      </c>
      <c r="C13" s="1" t="n">
        <f aca="false">VALUE(RIGHT(A13,2))</f>
        <v>6</v>
      </c>
      <c r="D13" s="1" t="s">
        <v>44</v>
      </c>
      <c r="E13" s="1" t="n">
        <v>0.082681</v>
      </c>
      <c r="F13" s="1" t="n">
        <v>15.376</v>
      </c>
      <c r="G13" s="1" t="n">
        <v>3</v>
      </c>
      <c r="H13" s="4" t="b">
        <f aca="false">AND(E13&lt;&gt;"",F13&lt;=100,G13&gt;=2)</f>
        <v>1</v>
      </c>
    </row>
    <row r="14" customFormat="false" ht="15" hidden="false" customHeight="false" outlineLevel="0" collapsed="false">
      <c r="A14" s="1" t="s">
        <v>50</v>
      </c>
      <c r="B14" s="1" t="n">
        <f aca="false">VALUE(LEFT(A14,4))</f>
        <v>2019</v>
      </c>
      <c r="C14" s="1" t="n">
        <f aca="false">VALUE(RIGHT(A14,2))</f>
        <v>7</v>
      </c>
      <c r="D14" s="1" t="s">
        <v>43</v>
      </c>
      <c r="E14" s="1" t="n">
        <v>0.00773</v>
      </c>
      <c r="F14" s="1" t="n">
        <v>14.536</v>
      </c>
      <c r="G14" s="1" t="n">
        <v>8</v>
      </c>
      <c r="H14" s="4" t="b">
        <f aca="false">AND(E14&lt;&gt;"",F14&lt;=100,G14&gt;=2)</f>
        <v>1</v>
      </c>
    </row>
    <row r="15" customFormat="false" ht="15" hidden="false" customHeight="false" outlineLevel="0" collapsed="false">
      <c r="A15" s="1" t="s">
        <v>50</v>
      </c>
      <c r="B15" s="1" t="n">
        <f aca="false">VALUE(LEFT(A15,4))</f>
        <v>2019</v>
      </c>
      <c r="C15" s="1" t="n">
        <f aca="false">VALUE(RIGHT(A15,2))</f>
        <v>7</v>
      </c>
      <c r="D15" s="1" t="s">
        <v>44</v>
      </c>
      <c r="E15" s="1" t="n">
        <v>0.005251</v>
      </c>
      <c r="F15" s="1" t="n">
        <v>23.708</v>
      </c>
      <c r="G15" s="1" t="n">
        <v>8</v>
      </c>
      <c r="H15" s="4" t="b">
        <f aca="false">AND(E15&lt;&gt;"",F15&lt;=100,G15&gt;=2)</f>
        <v>1</v>
      </c>
    </row>
    <row r="16" customFormat="false" ht="15" hidden="false" customHeight="false" outlineLevel="0" collapsed="false">
      <c r="A16" s="1" t="s">
        <v>51</v>
      </c>
      <c r="B16" s="1" t="n">
        <f aca="false">VALUE(LEFT(A16,4))</f>
        <v>2019</v>
      </c>
      <c r="C16" s="1" t="n">
        <f aca="false">VALUE(RIGHT(A16,2))</f>
        <v>8</v>
      </c>
      <c r="D16" s="1" t="s">
        <v>43</v>
      </c>
      <c r="E16" s="1" t="n">
        <v>0.03118</v>
      </c>
      <c r="F16" s="1" t="n">
        <v>29.254</v>
      </c>
      <c r="G16" s="1" t="n">
        <v>7</v>
      </c>
      <c r="H16" s="4" t="b">
        <f aca="false">AND(E16&lt;&gt;"",F16&lt;=100,G16&gt;=2)</f>
        <v>1</v>
      </c>
    </row>
    <row r="17" customFormat="false" ht="15" hidden="false" customHeight="false" outlineLevel="0" collapsed="false">
      <c r="A17" s="1" t="s">
        <v>51</v>
      </c>
      <c r="B17" s="1" t="n">
        <f aca="false">VALUE(LEFT(A17,4))</f>
        <v>2019</v>
      </c>
      <c r="C17" s="1" t="n">
        <f aca="false">VALUE(RIGHT(A17,2))</f>
        <v>8</v>
      </c>
      <c r="D17" s="1" t="s">
        <v>44</v>
      </c>
      <c r="E17" s="1" t="n">
        <v>0.027122</v>
      </c>
      <c r="F17" s="1" t="n">
        <v>26.71</v>
      </c>
      <c r="G17" s="1" t="n">
        <v>7</v>
      </c>
      <c r="H17" s="4" t="b">
        <f aca="false">AND(E17&lt;&gt;"",F17&lt;=100,G17&gt;=2)</f>
        <v>1</v>
      </c>
    </row>
    <row r="18" customFormat="false" ht="15" hidden="false" customHeight="false" outlineLevel="0" collapsed="false">
      <c r="A18" s="1" t="s">
        <v>52</v>
      </c>
      <c r="B18" s="1" t="n">
        <f aca="false">VALUE(LEFT(A18,4))</f>
        <v>2019</v>
      </c>
      <c r="C18" s="1" t="n">
        <f aca="false">VALUE(RIGHT(A18,2))</f>
        <v>9</v>
      </c>
      <c r="D18" s="1" t="s">
        <v>43</v>
      </c>
      <c r="E18" s="1"/>
      <c r="F18" s="1"/>
      <c r="G18" s="1" t="n">
        <v>0</v>
      </c>
      <c r="H18" s="4" t="b">
        <f aca="false">AND(E18&lt;&gt;"",F18&lt;=100,G18&gt;=2)</f>
        <v>0</v>
      </c>
    </row>
    <row r="19" customFormat="false" ht="15" hidden="false" customHeight="false" outlineLevel="0" collapsed="false">
      <c r="A19" s="1" t="s">
        <v>52</v>
      </c>
      <c r="B19" s="1" t="n">
        <f aca="false">VALUE(LEFT(A19,4))</f>
        <v>2019</v>
      </c>
      <c r="C19" s="1" t="n">
        <f aca="false">VALUE(RIGHT(A19,2))</f>
        <v>9</v>
      </c>
      <c r="D19" s="1" t="s">
        <v>44</v>
      </c>
      <c r="E19" s="1"/>
      <c r="F19" s="1"/>
      <c r="G19" s="1" t="n">
        <v>0</v>
      </c>
      <c r="H19" s="4" t="b">
        <f aca="false">AND(E19&lt;&gt;"",F19&lt;=100,G19&gt;=2)</f>
        <v>0</v>
      </c>
    </row>
    <row r="20" customFormat="false" ht="15" hidden="false" customHeight="false" outlineLevel="0" collapsed="false">
      <c r="A20" s="1" t="s">
        <v>53</v>
      </c>
      <c r="B20" s="1" t="n">
        <f aca="false">VALUE(LEFT(A20,4))</f>
        <v>2019</v>
      </c>
      <c r="C20" s="1" t="n">
        <f aca="false">VALUE(RIGHT(A20,2))</f>
        <v>10</v>
      </c>
      <c r="D20" s="1" t="s">
        <v>43</v>
      </c>
      <c r="E20" s="1"/>
      <c r="F20" s="1"/>
      <c r="G20" s="1" t="n">
        <v>2</v>
      </c>
      <c r="H20" s="4" t="b">
        <f aca="false">AND(E20&lt;&gt;"",F20&lt;=100,G20&gt;=2)</f>
        <v>0</v>
      </c>
    </row>
    <row r="21" customFormat="false" ht="15" hidden="false" customHeight="false" outlineLevel="0" collapsed="false">
      <c r="A21" s="1" t="s">
        <v>53</v>
      </c>
      <c r="B21" s="1" t="n">
        <f aca="false">VALUE(LEFT(A21,4))</f>
        <v>2019</v>
      </c>
      <c r="C21" s="1" t="n">
        <f aca="false">VALUE(RIGHT(A21,2))</f>
        <v>10</v>
      </c>
      <c r="D21" s="1" t="s">
        <v>44</v>
      </c>
      <c r="E21" s="1" t="n">
        <v>-0.026305</v>
      </c>
      <c r="F21" s="1" t="n">
        <v>11.182</v>
      </c>
      <c r="G21" s="1" t="n">
        <v>2</v>
      </c>
      <c r="H21" s="4" t="b">
        <f aca="false">AND(E21&lt;&gt;"",F21&lt;=100,G21&gt;=2)</f>
        <v>1</v>
      </c>
    </row>
    <row r="22" customFormat="false" ht="15" hidden="false" customHeight="false" outlineLevel="0" collapsed="false">
      <c r="A22" s="1" t="s">
        <v>54</v>
      </c>
      <c r="B22" s="1" t="n">
        <f aca="false">VALUE(LEFT(A22,4))</f>
        <v>2019</v>
      </c>
      <c r="C22" s="1" t="n">
        <f aca="false">VALUE(RIGHT(A22,2))</f>
        <v>11</v>
      </c>
      <c r="D22" s="1" t="s">
        <v>43</v>
      </c>
      <c r="E22" s="1"/>
      <c r="F22" s="1"/>
      <c r="G22" s="1" t="n">
        <v>5</v>
      </c>
      <c r="H22" s="4" t="b">
        <f aca="false">AND(E22&lt;&gt;"",F22&lt;=100,G22&gt;=2)</f>
        <v>0</v>
      </c>
    </row>
    <row r="23" customFormat="false" ht="15" hidden="false" customHeight="false" outlineLevel="0" collapsed="false">
      <c r="A23" s="1" t="s">
        <v>54</v>
      </c>
      <c r="B23" s="1" t="n">
        <f aca="false">VALUE(LEFT(A23,4))</f>
        <v>2019</v>
      </c>
      <c r="C23" s="1" t="n">
        <f aca="false">VALUE(RIGHT(A23,2))</f>
        <v>11</v>
      </c>
      <c r="D23" s="1" t="s">
        <v>44</v>
      </c>
      <c r="E23" s="1" t="n">
        <v>0.00304</v>
      </c>
      <c r="F23" s="1" t="n">
        <v>48.02</v>
      </c>
      <c r="G23" s="1" t="n">
        <v>5</v>
      </c>
      <c r="H23" s="4" t="b">
        <f aca="false">AND(E23&lt;&gt;"",F23&lt;=100,G23&gt;=2)</f>
        <v>1</v>
      </c>
    </row>
    <row r="24" customFormat="false" ht="15" hidden="false" customHeight="false" outlineLevel="0" collapsed="false">
      <c r="A24" s="1" t="s">
        <v>55</v>
      </c>
      <c r="B24" s="1" t="n">
        <f aca="false">VALUE(LEFT(A24,4))</f>
        <v>2019</v>
      </c>
      <c r="C24" s="1" t="n">
        <f aca="false">VALUE(RIGHT(A24,2))</f>
        <v>12</v>
      </c>
      <c r="D24" s="1" t="s">
        <v>43</v>
      </c>
      <c r="E24" s="1" t="n">
        <v>0.014552</v>
      </c>
      <c r="F24" s="1" t="n">
        <v>26.983</v>
      </c>
      <c r="G24" s="1" t="n">
        <v>6</v>
      </c>
      <c r="H24" s="4" t="b">
        <f aca="false">AND(E24&lt;&gt;"",F24&lt;=100,G24&gt;=2)</f>
        <v>1</v>
      </c>
    </row>
    <row r="25" customFormat="false" ht="15" hidden="false" customHeight="false" outlineLevel="0" collapsed="false">
      <c r="A25" s="1" t="s">
        <v>55</v>
      </c>
      <c r="B25" s="1" t="n">
        <f aca="false">VALUE(LEFT(A25,4))</f>
        <v>2019</v>
      </c>
      <c r="C25" s="1" t="n">
        <f aca="false">VALUE(RIGHT(A25,2))</f>
        <v>12</v>
      </c>
      <c r="D25" s="1" t="s">
        <v>44</v>
      </c>
      <c r="E25" s="1" t="n">
        <v>0.022083</v>
      </c>
      <c r="F25" s="1" t="n">
        <v>60.609</v>
      </c>
      <c r="G25" s="1" t="n">
        <v>6</v>
      </c>
      <c r="H25" s="4" t="b">
        <f aca="false">AND(E25&lt;&gt;"",F25&lt;=100,G25&gt;=2)</f>
        <v>1</v>
      </c>
    </row>
    <row r="26" customFormat="false" ht="15" hidden="false" customHeight="false" outlineLevel="0" collapsed="false">
      <c r="A26" s="1" t="s">
        <v>56</v>
      </c>
      <c r="B26" s="1" t="n">
        <f aca="false">VALUE(LEFT(A26,4))</f>
        <v>2020</v>
      </c>
      <c r="C26" s="1" t="n">
        <f aca="false">VALUE(RIGHT(A26,2))</f>
        <v>1</v>
      </c>
      <c r="D26" s="1" t="s">
        <v>43</v>
      </c>
      <c r="E26" s="1" t="n">
        <v>0.034592</v>
      </c>
      <c r="F26" s="1" t="n">
        <v>21.633</v>
      </c>
      <c r="G26" s="1" t="n">
        <v>12</v>
      </c>
      <c r="H26" s="4" t="b">
        <f aca="false">AND(E26&lt;&gt;"",F26&lt;=100,G26&gt;=2)</f>
        <v>1</v>
      </c>
    </row>
    <row r="27" customFormat="false" ht="15" hidden="false" customHeight="false" outlineLevel="0" collapsed="false">
      <c r="A27" s="1" t="s">
        <v>56</v>
      </c>
      <c r="B27" s="1" t="n">
        <f aca="false">VALUE(LEFT(A27,4))</f>
        <v>2020</v>
      </c>
      <c r="C27" s="1" t="n">
        <f aca="false">VALUE(RIGHT(A27,2))</f>
        <v>1</v>
      </c>
      <c r="D27" s="1" t="s">
        <v>44</v>
      </c>
      <c r="E27" s="1" t="n">
        <v>-0.020987</v>
      </c>
      <c r="F27" s="1" t="n">
        <v>22.113</v>
      </c>
      <c r="G27" s="1" t="n">
        <v>12</v>
      </c>
      <c r="H27" s="4" t="b">
        <f aca="false">AND(E27&lt;&gt;"",F27&lt;=100,G27&gt;=2)</f>
        <v>1</v>
      </c>
    </row>
    <row r="28" customFormat="false" ht="15" hidden="false" customHeight="false" outlineLevel="0" collapsed="false">
      <c r="A28" s="1" t="s">
        <v>57</v>
      </c>
      <c r="B28" s="1" t="n">
        <f aca="false">VALUE(LEFT(A28,4))</f>
        <v>2020</v>
      </c>
      <c r="C28" s="1" t="n">
        <f aca="false">VALUE(RIGHT(A28,2))</f>
        <v>2</v>
      </c>
      <c r="D28" s="1" t="s">
        <v>43</v>
      </c>
      <c r="E28" s="1" t="n">
        <v>0.033288</v>
      </c>
      <c r="F28" s="1" t="n">
        <v>26.794</v>
      </c>
      <c r="G28" s="1" t="n">
        <v>12</v>
      </c>
      <c r="H28" s="4" t="b">
        <f aca="false">AND(E28&lt;&gt;"",F28&lt;=100,G28&gt;=2)</f>
        <v>1</v>
      </c>
    </row>
    <row r="29" customFormat="false" ht="15" hidden="false" customHeight="false" outlineLevel="0" collapsed="false">
      <c r="A29" s="1" t="s">
        <v>57</v>
      </c>
      <c r="B29" s="1" t="n">
        <f aca="false">VALUE(LEFT(A29,4))</f>
        <v>2020</v>
      </c>
      <c r="C29" s="1" t="n">
        <f aca="false">VALUE(RIGHT(A29,2))</f>
        <v>2</v>
      </c>
      <c r="D29" s="1" t="s">
        <v>44</v>
      </c>
      <c r="E29" s="1" t="n">
        <v>0.033676</v>
      </c>
      <c r="F29" s="1" t="n">
        <v>17.087</v>
      </c>
      <c r="G29" s="1" t="n">
        <v>12</v>
      </c>
      <c r="H29" s="4" t="b">
        <f aca="false">AND(E29&lt;&gt;"",F29&lt;=100,G29&gt;=2)</f>
        <v>1</v>
      </c>
    </row>
    <row r="30" customFormat="false" ht="15" hidden="false" customHeight="false" outlineLevel="0" collapsed="false">
      <c r="A30" s="1" t="s">
        <v>58</v>
      </c>
      <c r="B30" s="1" t="n">
        <f aca="false">VALUE(LEFT(A30,4))</f>
        <v>2020</v>
      </c>
      <c r="C30" s="1" t="n">
        <f aca="false">VALUE(RIGHT(A30,2))</f>
        <v>3</v>
      </c>
      <c r="D30" s="1" t="s">
        <v>43</v>
      </c>
      <c r="E30" s="1" t="n">
        <v>0.012271</v>
      </c>
      <c r="F30" s="1" t="n">
        <v>18.391</v>
      </c>
      <c r="G30" s="1" t="n">
        <v>9</v>
      </c>
      <c r="H30" s="4" t="b">
        <f aca="false">AND(E30&lt;&gt;"",F30&lt;=100,G30&gt;=2)</f>
        <v>1</v>
      </c>
    </row>
    <row r="31" customFormat="false" ht="15" hidden="false" customHeight="false" outlineLevel="0" collapsed="false">
      <c r="A31" s="1" t="s">
        <v>58</v>
      </c>
      <c r="B31" s="1" t="n">
        <f aca="false">VALUE(LEFT(A31,4))</f>
        <v>2020</v>
      </c>
      <c r="C31" s="1" t="n">
        <f aca="false">VALUE(RIGHT(A31,2))</f>
        <v>3</v>
      </c>
      <c r="D31" s="1" t="s">
        <v>44</v>
      </c>
      <c r="E31" s="1" t="n">
        <v>0.020031</v>
      </c>
      <c r="F31" s="1" t="n">
        <v>36.872</v>
      </c>
      <c r="G31" s="1" t="n">
        <v>9</v>
      </c>
      <c r="H31" s="4" t="b">
        <f aca="false">AND(E31&lt;&gt;"",F31&lt;=100,G31&gt;=2)</f>
        <v>1</v>
      </c>
    </row>
    <row r="32" customFormat="false" ht="15" hidden="false" customHeight="false" outlineLevel="0" collapsed="false">
      <c r="A32" s="1" t="s">
        <v>59</v>
      </c>
      <c r="B32" s="1" t="n">
        <f aca="false">VALUE(LEFT(A32,4))</f>
        <v>2020</v>
      </c>
      <c r="C32" s="1" t="n">
        <f aca="false">VALUE(RIGHT(A32,2))</f>
        <v>4</v>
      </c>
      <c r="D32" s="1" t="s">
        <v>43</v>
      </c>
      <c r="E32" s="1" t="n">
        <v>0.027344</v>
      </c>
      <c r="F32" s="1" t="n">
        <v>18.205</v>
      </c>
      <c r="G32" s="1" t="n">
        <v>8</v>
      </c>
      <c r="H32" s="4" t="b">
        <f aca="false">AND(E32&lt;&gt;"",F32&lt;=100,G32&gt;=2)</f>
        <v>1</v>
      </c>
    </row>
    <row r="33" customFormat="false" ht="15" hidden="false" customHeight="false" outlineLevel="0" collapsed="false">
      <c r="A33" s="1" t="s">
        <v>59</v>
      </c>
      <c r="B33" s="1" t="n">
        <f aca="false">VALUE(LEFT(A33,4))</f>
        <v>2020</v>
      </c>
      <c r="C33" s="1" t="n">
        <f aca="false">VALUE(RIGHT(A33,2))</f>
        <v>4</v>
      </c>
      <c r="D33" s="1" t="s">
        <v>44</v>
      </c>
      <c r="E33" s="1" t="n">
        <v>0.063072</v>
      </c>
      <c r="F33" s="1" t="n">
        <v>16.582</v>
      </c>
      <c r="G33" s="1" t="n">
        <v>8</v>
      </c>
      <c r="H33" s="4" t="b">
        <f aca="false">AND(E33&lt;&gt;"",F33&lt;=100,G33&gt;=2)</f>
        <v>1</v>
      </c>
    </row>
    <row r="34" customFormat="false" ht="15" hidden="false" customHeight="false" outlineLevel="0" collapsed="false">
      <c r="A34" s="1" t="s">
        <v>60</v>
      </c>
      <c r="B34" s="1" t="n">
        <f aca="false">VALUE(LEFT(A34,4))</f>
        <v>2020</v>
      </c>
      <c r="C34" s="1" t="n">
        <f aca="false">VALUE(RIGHT(A34,2))</f>
        <v>5</v>
      </c>
      <c r="D34" s="1" t="s">
        <v>43</v>
      </c>
      <c r="E34" s="1"/>
      <c r="F34" s="1"/>
      <c r="G34" s="1" t="n">
        <v>0</v>
      </c>
      <c r="H34" s="4" t="b">
        <f aca="false">AND(E34&lt;&gt;"",F34&lt;=100,G34&gt;=2)</f>
        <v>0</v>
      </c>
    </row>
    <row r="35" customFormat="false" ht="15" hidden="false" customHeight="false" outlineLevel="0" collapsed="false">
      <c r="A35" s="1" t="s">
        <v>60</v>
      </c>
      <c r="B35" s="1" t="n">
        <f aca="false">VALUE(LEFT(A35,4))</f>
        <v>2020</v>
      </c>
      <c r="C35" s="1" t="n">
        <f aca="false">VALUE(RIGHT(A35,2))</f>
        <v>5</v>
      </c>
      <c r="D35" s="1" t="s">
        <v>44</v>
      </c>
      <c r="E35" s="1"/>
      <c r="F35" s="1"/>
      <c r="G35" s="1" t="n">
        <v>0</v>
      </c>
      <c r="H35" s="4" t="b">
        <f aca="false">AND(E35&lt;&gt;"",F35&lt;=100,G35&gt;=2)</f>
        <v>0</v>
      </c>
    </row>
    <row r="36" customFormat="false" ht="15" hidden="false" customHeight="false" outlineLevel="0" collapsed="false">
      <c r="A36" s="1" t="s">
        <v>61</v>
      </c>
      <c r="B36" s="1" t="n">
        <f aca="false">VALUE(LEFT(A36,4))</f>
        <v>2020</v>
      </c>
      <c r="C36" s="1" t="n">
        <f aca="false">VALUE(RIGHT(A36,2))</f>
        <v>6</v>
      </c>
      <c r="D36" s="1" t="s">
        <v>43</v>
      </c>
      <c r="E36" s="1" t="n">
        <v>-0.009387</v>
      </c>
      <c r="F36" s="1" t="n">
        <v>13.278</v>
      </c>
      <c r="G36" s="1" t="n">
        <v>10</v>
      </c>
      <c r="H36" s="4" t="b">
        <f aca="false">AND(E36&lt;&gt;"",F36&lt;=100,G36&gt;=2)</f>
        <v>1</v>
      </c>
    </row>
    <row r="37" customFormat="false" ht="15" hidden="false" customHeight="false" outlineLevel="0" collapsed="false">
      <c r="A37" s="1" t="s">
        <v>61</v>
      </c>
      <c r="B37" s="1" t="n">
        <f aca="false">VALUE(LEFT(A37,4))</f>
        <v>2020</v>
      </c>
      <c r="C37" s="1" t="n">
        <f aca="false">VALUE(RIGHT(A37,2))</f>
        <v>6</v>
      </c>
      <c r="D37" s="1" t="s">
        <v>44</v>
      </c>
      <c r="E37" s="1" t="n">
        <v>0.02347</v>
      </c>
      <c r="F37" s="1" t="n">
        <v>7.264</v>
      </c>
      <c r="G37" s="1" t="n">
        <v>10</v>
      </c>
      <c r="H37" s="4" t="b">
        <f aca="false">AND(E37&lt;&gt;"",F37&lt;=100,G37&gt;=2)</f>
        <v>1</v>
      </c>
    </row>
    <row r="38" customFormat="false" ht="15" hidden="false" customHeight="false" outlineLevel="0" collapsed="false">
      <c r="A38" s="1" t="s">
        <v>62</v>
      </c>
      <c r="B38" s="1" t="n">
        <f aca="false">VALUE(LEFT(A38,4))</f>
        <v>2020</v>
      </c>
      <c r="C38" s="1" t="n">
        <f aca="false">VALUE(RIGHT(A38,2))</f>
        <v>7</v>
      </c>
      <c r="D38" s="1" t="s">
        <v>43</v>
      </c>
      <c r="E38" s="1" t="n">
        <v>-0.005134</v>
      </c>
      <c r="F38" s="1" t="n">
        <v>12.856</v>
      </c>
      <c r="G38" s="1" t="n">
        <v>10</v>
      </c>
      <c r="H38" s="4" t="b">
        <f aca="false">AND(E38&lt;&gt;"",F38&lt;=100,G38&gt;=2)</f>
        <v>1</v>
      </c>
    </row>
    <row r="39" customFormat="false" ht="15" hidden="false" customHeight="false" outlineLevel="0" collapsed="false">
      <c r="A39" s="1" t="s">
        <v>62</v>
      </c>
      <c r="B39" s="1" t="n">
        <f aca="false">VALUE(LEFT(A39,4))</f>
        <v>2020</v>
      </c>
      <c r="C39" s="1" t="n">
        <f aca="false">VALUE(RIGHT(A39,2))</f>
        <v>7</v>
      </c>
      <c r="D39" s="1" t="s">
        <v>44</v>
      </c>
      <c r="E39" s="1" t="n">
        <v>-0.001738</v>
      </c>
      <c r="F39" s="1" t="n">
        <v>6.915</v>
      </c>
      <c r="G39" s="1" t="n">
        <v>10</v>
      </c>
      <c r="H39" s="4" t="b">
        <f aca="false">AND(E39&lt;&gt;"",F39&lt;=100,G39&gt;=2)</f>
        <v>1</v>
      </c>
    </row>
    <row r="40" customFormat="false" ht="15" hidden="false" customHeight="false" outlineLevel="0" collapsed="false">
      <c r="A40" s="1" t="s">
        <v>63</v>
      </c>
      <c r="B40" s="1" t="n">
        <f aca="false">VALUE(LEFT(A40,4))</f>
        <v>2020</v>
      </c>
      <c r="C40" s="1" t="n">
        <f aca="false">VALUE(RIGHT(A40,2))</f>
        <v>8</v>
      </c>
      <c r="D40" s="1" t="s">
        <v>43</v>
      </c>
      <c r="E40" s="1" t="n">
        <v>-0.002381</v>
      </c>
      <c r="F40" s="1" t="n">
        <v>14.457</v>
      </c>
      <c r="G40" s="1" t="n">
        <v>9</v>
      </c>
      <c r="H40" s="4" t="b">
        <f aca="false">AND(E40&lt;&gt;"",F40&lt;=100,G40&gt;=2)</f>
        <v>1</v>
      </c>
    </row>
    <row r="41" customFormat="false" ht="15" hidden="false" customHeight="false" outlineLevel="0" collapsed="false">
      <c r="A41" s="1" t="s">
        <v>63</v>
      </c>
      <c r="B41" s="1" t="n">
        <f aca="false">VALUE(LEFT(A41,4))</f>
        <v>2020</v>
      </c>
      <c r="C41" s="1" t="n">
        <f aca="false">VALUE(RIGHT(A41,2))</f>
        <v>8</v>
      </c>
      <c r="D41" s="1" t="s">
        <v>44</v>
      </c>
      <c r="E41" s="1" t="n">
        <v>0.013551</v>
      </c>
      <c r="F41" s="1" t="n">
        <v>32.022</v>
      </c>
      <c r="G41" s="1" t="n">
        <v>9</v>
      </c>
      <c r="H41" s="4" t="b">
        <f aca="false">AND(E41&lt;&gt;"",F41&lt;=100,G41&gt;=2)</f>
        <v>1</v>
      </c>
    </row>
    <row r="42" customFormat="false" ht="15" hidden="false" customHeight="false" outlineLevel="0" collapsed="false">
      <c r="A42" s="1" t="s">
        <v>64</v>
      </c>
      <c r="B42" s="1" t="n">
        <f aca="false">VALUE(LEFT(A42,4))</f>
        <v>2020</v>
      </c>
      <c r="C42" s="1" t="n">
        <f aca="false">VALUE(RIGHT(A42,2))</f>
        <v>9</v>
      </c>
      <c r="D42" s="1" t="s">
        <v>43</v>
      </c>
      <c r="E42" s="1" t="n">
        <v>0.008385</v>
      </c>
      <c r="F42" s="1" t="n">
        <v>23.541</v>
      </c>
      <c r="G42" s="1" t="n">
        <v>9</v>
      </c>
      <c r="H42" s="4" t="b">
        <f aca="false">AND(E42&lt;&gt;"",F42&lt;=100,G42&gt;=2)</f>
        <v>1</v>
      </c>
    </row>
    <row r="43" customFormat="false" ht="15" hidden="false" customHeight="false" outlineLevel="0" collapsed="false">
      <c r="A43" s="1" t="s">
        <v>64</v>
      </c>
      <c r="B43" s="1" t="n">
        <f aca="false">VALUE(LEFT(A43,4))</f>
        <v>2020</v>
      </c>
      <c r="C43" s="1" t="n">
        <f aca="false">VALUE(RIGHT(A43,2))</f>
        <v>9</v>
      </c>
      <c r="D43" s="1" t="s">
        <v>44</v>
      </c>
      <c r="E43" s="1" t="n">
        <v>-0.010743</v>
      </c>
      <c r="F43" s="1" t="n">
        <v>9.218</v>
      </c>
      <c r="G43" s="1" t="n">
        <v>9</v>
      </c>
      <c r="H43" s="4" t="b">
        <f aca="false">AND(E43&lt;&gt;"",F43&lt;=100,G43&gt;=2)</f>
        <v>1</v>
      </c>
    </row>
    <row r="44" customFormat="false" ht="15" hidden="false" customHeight="false" outlineLevel="0" collapsed="false">
      <c r="A44" s="1" t="s">
        <v>65</v>
      </c>
      <c r="B44" s="1" t="n">
        <f aca="false">VALUE(LEFT(A44,4))</f>
        <v>2020</v>
      </c>
      <c r="C44" s="1" t="n">
        <f aca="false">VALUE(RIGHT(A44,2))</f>
        <v>10</v>
      </c>
      <c r="D44" s="1" t="s">
        <v>43</v>
      </c>
      <c r="E44" s="1"/>
      <c r="F44" s="1"/>
      <c r="G44" s="1" t="n">
        <v>0</v>
      </c>
      <c r="H44" s="4" t="b">
        <f aca="false">AND(E44&lt;&gt;"",F44&lt;=100,G44&gt;=2)</f>
        <v>0</v>
      </c>
    </row>
    <row r="45" customFormat="false" ht="15" hidden="false" customHeight="false" outlineLevel="0" collapsed="false">
      <c r="A45" s="1" t="s">
        <v>65</v>
      </c>
      <c r="B45" s="1" t="n">
        <f aca="false">VALUE(LEFT(A45,4))</f>
        <v>2020</v>
      </c>
      <c r="C45" s="1" t="n">
        <f aca="false">VALUE(RIGHT(A45,2))</f>
        <v>10</v>
      </c>
      <c r="D45" s="1" t="s">
        <v>44</v>
      </c>
      <c r="E45" s="1"/>
      <c r="F45" s="1"/>
      <c r="G45" s="1" t="n">
        <v>0</v>
      </c>
      <c r="H45" s="4" t="b">
        <f aca="false">AND(E45&lt;&gt;"",F45&lt;=100,G45&gt;=2)</f>
        <v>0</v>
      </c>
    </row>
    <row r="46" customFormat="false" ht="15" hidden="false" customHeight="false" outlineLevel="0" collapsed="false">
      <c r="A46" s="1" t="s">
        <v>66</v>
      </c>
      <c r="B46" s="1" t="n">
        <f aca="false">VALUE(LEFT(A46,4))</f>
        <v>2020</v>
      </c>
      <c r="C46" s="1" t="n">
        <f aca="false">VALUE(RIGHT(A46,2))</f>
        <v>11</v>
      </c>
      <c r="D46" s="1" t="s">
        <v>43</v>
      </c>
      <c r="E46" s="1"/>
      <c r="F46" s="1"/>
      <c r="G46" s="1" t="n">
        <v>0</v>
      </c>
      <c r="H46" s="4" t="b">
        <f aca="false">AND(E46&lt;&gt;"",F46&lt;=100,G46&gt;=2)</f>
        <v>0</v>
      </c>
    </row>
    <row r="47" customFormat="false" ht="15" hidden="false" customHeight="false" outlineLevel="0" collapsed="false">
      <c r="A47" s="1" t="s">
        <v>66</v>
      </c>
      <c r="B47" s="1" t="n">
        <f aca="false">VALUE(LEFT(A47,4))</f>
        <v>2020</v>
      </c>
      <c r="C47" s="1" t="n">
        <f aca="false">VALUE(RIGHT(A47,2))</f>
        <v>11</v>
      </c>
      <c r="D47" s="1" t="s">
        <v>44</v>
      </c>
      <c r="E47" s="1"/>
      <c r="F47" s="1"/>
      <c r="G47" s="1" t="n">
        <v>0</v>
      </c>
      <c r="H47" s="4" t="b">
        <f aca="false">AND(E47&lt;&gt;"",F47&lt;=100,G47&gt;=2)</f>
        <v>0</v>
      </c>
    </row>
    <row r="48" customFormat="false" ht="15" hidden="false" customHeight="false" outlineLevel="0" collapsed="false">
      <c r="A48" s="1" t="s">
        <v>67</v>
      </c>
      <c r="B48" s="1" t="n">
        <f aca="false">VALUE(LEFT(A48,4))</f>
        <v>2020</v>
      </c>
      <c r="C48" s="1" t="n">
        <f aca="false">VALUE(RIGHT(A48,2))</f>
        <v>12</v>
      </c>
      <c r="D48" s="1" t="s">
        <v>43</v>
      </c>
      <c r="E48" s="1" t="n">
        <v>0.047187</v>
      </c>
      <c r="F48" s="1" t="n">
        <v>26.193</v>
      </c>
      <c r="G48" s="1" t="n">
        <v>4</v>
      </c>
      <c r="H48" s="4" t="b">
        <f aca="false">AND(E48&lt;&gt;"",F48&lt;=100,G48&gt;=2)</f>
        <v>1</v>
      </c>
    </row>
    <row r="49" customFormat="false" ht="15" hidden="false" customHeight="false" outlineLevel="0" collapsed="false">
      <c r="A49" s="1" t="s">
        <v>67</v>
      </c>
      <c r="B49" s="1" t="n">
        <f aca="false">VALUE(LEFT(A49,4))</f>
        <v>2020</v>
      </c>
      <c r="C49" s="1" t="n">
        <f aca="false">VALUE(RIGHT(A49,2))</f>
        <v>12</v>
      </c>
      <c r="D49" s="1" t="s">
        <v>44</v>
      </c>
      <c r="E49" s="1" t="n">
        <v>0.062067</v>
      </c>
      <c r="F49" s="1" t="n">
        <v>19.376</v>
      </c>
      <c r="G49" s="1" t="n">
        <v>4</v>
      </c>
      <c r="H49" s="4" t="b">
        <f aca="false">AND(E49&lt;&gt;"",F49&lt;=100,G49&gt;=2)</f>
        <v>1</v>
      </c>
    </row>
    <row r="50" customFormat="false" ht="15" hidden="false" customHeight="false" outlineLevel="0" collapsed="false">
      <c r="A50" s="1" t="s">
        <v>68</v>
      </c>
      <c r="B50" s="1" t="n">
        <f aca="false">VALUE(LEFT(A50,4))</f>
        <v>2021</v>
      </c>
      <c r="C50" s="1" t="n">
        <f aca="false">VALUE(RIGHT(A50,2))</f>
        <v>1</v>
      </c>
      <c r="D50" s="1" t="s">
        <v>43</v>
      </c>
      <c r="E50" s="1"/>
      <c r="F50" s="1"/>
      <c r="G50" s="1" t="n">
        <v>0</v>
      </c>
      <c r="H50" s="4" t="b">
        <f aca="false">AND(E50&lt;&gt;"",F50&lt;=100,G50&gt;=2)</f>
        <v>0</v>
      </c>
    </row>
    <row r="51" customFormat="false" ht="15" hidden="false" customHeight="false" outlineLevel="0" collapsed="false">
      <c r="A51" s="1" t="s">
        <v>68</v>
      </c>
      <c r="B51" s="1" t="n">
        <f aca="false">VALUE(LEFT(A51,4))</f>
        <v>2021</v>
      </c>
      <c r="C51" s="1" t="n">
        <f aca="false">VALUE(RIGHT(A51,2))</f>
        <v>1</v>
      </c>
      <c r="D51" s="1" t="s">
        <v>44</v>
      </c>
      <c r="E51" s="1"/>
      <c r="F51" s="1"/>
      <c r="G51" s="1" t="n">
        <v>0</v>
      </c>
      <c r="H51" s="4" t="b">
        <f aca="false">AND(E51&lt;&gt;"",F51&lt;=100,G51&gt;=2)</f>
        <v>0</v>
      </c>
    </row>
    <row r="52" customFormat="false" ht="15" hidden="false" customHeight="false" outlineLevel="0" collapsed="false">
      <c r="A52" s="1" t="s">
        <v>69</v>
      </c>
      <c r="B52" s="1" t="n">
        <f aca="false">VALUE(LEFT(A52,4))</f>
        <v>2021</v>
      </c>
      <c r="C52" s="1" t="n">
        <f aca="false">VALUE(RIGHT(A52,2))</f>
        <v>2</v>
      </c>
      <c r="D52" s="1" t="s">
        <v>43</v>
      </c>
      <c r="E52" s="1" t="n">
        <v>0.020913</v>
      </c>
      <c r="F52" s="1" t="n">
        <v>23.12</v>
      </c>
      <c r="G52" s="1" t="n">
        <v>13</v>
      </c>
      <c r="H52" s="4" t="b">
        <f aca="false">AND(E52&lt;&gt;"",F52&lt;=100,G52&gt;=2)</f>
        <v>1</v>
      </c>
    </row>
    <row r="53" customFormat="false" ht="15" hidden="false" customHeight="false" outlineLevel="0" collapsed="false">
      <c r="A53" s="1" t="s">
        <v>69</v>
      </c>
      <c r="B53" s="1" t="n">
        <f aca="false">VALUE(LEFT(A53,4))</f>
        <v>2021</v>
      </c>
      <c r="C53" s="1" t="n">
        <f aca="false">VALUE(RIGHT(A53,2))</f>
        <v>2</v>
      </c>
      <c r="D53" s="1" t="s">
        <v>44</v>
      </c>
      <c r="E53" s="1" t="n">
        <v>0.026258</v>
      </c>
      <c r="F53" s="1" t="n">
        <v>36.586</v>
      </c>
      <c r="G53" s="1" t="n">
        <v>13</v>
      </c>
      <c r="H53" s="4" t="b">
        <f aca="false">AND(E53&lt;&gt;"",F53&lt;=100,G53&gt;=2)</f>
        <v>1</v>
      </c>
    </row>
    <row r="54" customFormat="false" ht="15" hidden="false" customHeight="false" outlineLevel="0" collapsed="false">
      <c r="A54" s="1" t="s">
        <v>70</v>
      </c>
      <c r="B54" s="1" t="n">
        <f aca="false">VALUE(LEFT(A54,4))</f>
        <v>2021</v>
      </c>
      <c r="C54" s="1" t="n">
        <f aca="false">VALUE(RIGHT(A54,2))</f>
        <v>3</v>
      </c>
      <c r="D54" s="1" t="s">
        <v>43</v>
      </c>
      <c r="E54" s="1" t="n">
        <v>0.024101</v>
      </c>
      <c r="F54" s="1" t="n">
        <v>32.789</v>
      </c>
      <c r="G54" s="1" t="n">
        <v>8</v>
      </c>
      <c r="H54" s="4" t="b">
        <f aca="false">AND(E54&lt;&gt;"",F54&lt;=100,G54&gt;=2)</f>
        <v>1</v>
      </c>
    </row>
    <row r="55" customFormat="false" ht="15" hidden="false" customHeight="false" outlineLevel="0" collapsed="false">
      <c r="A55" s="1" t="s">
        <v>70</v>
      </c>
      <c r="B55" s="1" t="n">
        <f aca="false">VALUE(LEFT(A55,4))</f>
        <v>2021</v>
      </c>
      <c r="C55" s="1" t="n">
        <f aca="false">VALUE(RIGHT(A55,2))</f>
        <v>3</v>
      </c>
      <c r="D55" s="1" t="s">
        <v>44</v>
      </c>
      <c r="E55" s="1" t="n">
        <v>0.00536</v>
      </c>
      <c r="F55" s="1" t="n">
        <v>23.264</v>
      </c>
      <c r="G55" s="1" t="n">
        <v>8</v>
      </c>
      <c r="H55" s="4" t="b">
        <f aca="false">AND(E55&lt;&gt;"",F55&lt;=100,G55&gt;=2)</f>
        <v>1</v>
      </c>
    </row>
    <row r="56" customFormat="false" ht="15" hidden="false" customHeight="false" outlineLevel="0" collapsed="false">
      <c r="A56" s="1" t="s">
        <v>71</v>
      </c>
      <c r="B56" s="1" t="n">
        <f aca="false">VALUE(LEFT(A56,4))</f>
        <v>2021</v>
      </c>
      <c r="C56" s="1" t="n">
        <f aca="false">VALUE(RIGHT(A56,2))</f>
        <v>4</v>
      </c>
      <c r="D56" s="1" t="s">
        <v>43</v>
      </c>
      <c r="E56" s="1" t="n">
        <v>0.024847</v>
      </c>
      <c r="F56" s="1" t="n">
        <v>23.81</v>
      </c>
      <c r="G56" s="1" t="n">
        <v>13</v>
      </c>
      <c r="H56" s="4" t="b">
        <f aca="false">AND(E56&lt;&gt;"",F56&lt;=100,G56&gt;=2)</f>
        <v>1</v>
      </c>
    </row>
    <row r="57" customFormat="false" ht="15" hidden="false" customHeight="false" outlineLevel="0" collapsed="false">
      <c r="A57" s="1" t="s">
        <v>71</v>
      </c>
      <c r="B57" s="1" t="n">
        <f aca="false">VALUE(LEFT(A57,4))</f>
        <v>2021</v>
      </c>
      <c r="C57" s="1" t="n">
        <f aca="false">VALUE(RIGHT(A57,2))</f>
        <v>4</v>
      </c>
      <c r="D57" s="1" t="s">
        <v>44</v>
      </c>
      <c r="E57" s="1" t="n">
        <v>0.009903</v>
      </c>
      <c r="F57" s="1" t="n">
        <v>19.782</v>
      </c>
      <c r="G57" s="1" t="n">
        <v>13</v>
      </c>
      <c r="H57" s="4" t="b">
        <f aca="false">AND(E57&lt;&gt;"",F57&lt;=100,G57&gt;=2)</f>
        <v>1</v>
      </c>
    </row>
    <row r="58" customFormat="false" ht="15" hidden="false" customHeight="false" outlineLevel="0" collapsed="false">
      <c r="A58" s="1" t="s">
        <v>72</v>
      </c>
      <c r="B58" s="1" t="n">
        <f aca="false">VALUE(LEFT(A58,4))</f>
        <v>2021</v>
      </c>
      <c r="C58" s="1" t="n">
        <f aca="false">VALUE(RIGHT(A58,2))</f>
        <v>5</v>
      </c>
      <c r="D58" s="1" t="s">
        <v>43</v>
      </c>
      <c r="E58" s="1" t="n">
        <v>0.000492</v>
      </c>
      <c r="F58" s="1" t="n">
        <v>12.993</v>
      </c>
      <c r="G58" s="1" t="n">
        <v>8</v>
      </c>
      <c r="H58" s="4" t="b">
        <f aca="false">AND(E58&lt;&gt;"",F58&lt;=100,G58&gt;=2)</f>
        <v>1</v>
      </c>
    </row>
    <row r="59" customFormat="false" ht="15" hidden="false" customHeight="false" outlineLevel="0" collapsed="false">
      <c r="A59" s="1" t="s">
        <v>72</v>
      </c>
      <c r="B59" s="1" t="n">
        <f aca="false">VALUE(LEFT(A59,4))</f>
        <v>2021</v>
      </c>
      <c r="C59" s="1" t="n">
        <f aca="false">VALUE(RIGHT(A59,2))</f>
        <v>5</v>
      </c>
      <c r="D59" s="1" t="s">
        <v>44</v>
      </c>
      <c r="E59" s="1" t="n">
        <v>1.5E-005</v>
      </c>
      <c r="F59" s="1" t="n">
        <v>26.664</v>
      </c>
      <c r="G59" s="1" t="n">
        <v>8</v>
      </c>
      <c r="H59" s="4" t="b">
        <f aca="false">AND(E59&lt;&gt;"",F59&lt;=100,G59&gt;=2)</f>
        <v>1</v>
      </c>
    </row>
    <row r="60" customFormat="false" ht="15" hidden="false" customHeight="false" outlineLevel="0" collapsed="false">
      <c r="A60" s="1" t="s">
        <v>73</v>
      </c>
      <c r="B60" s="1" t="n">
        <f aca="false">VALUE(LEFT(A60,4))</f>
        <v>2021</v>
      </c>
      <c r="C60" s="1" t="n">
        <f aca="false">VALUE(RIGHT(A60,2))</f>
        <v>6</v>
      </c>
      <c r="D60" s="1" t="s">
        <v>43</v>
      </c>
      <c r="E60" s="1" t="n">
        <v>-0.00615</v>
      </c>
      <c r="F60" s="1" t="n">
        <v>8.82</v>
      </c>
      <c r="G60" s="1" t="n">
        <v>10</v>
      </c>
      <c r="H60" s="4" t="b">
        <f aca="false">AND(E60&lt;&gt;"",F60&lt;=100,G60&gt;=2)</f>
        <v>1</v>
      </c>
    </row>
    <row r="61" customFormat="false" ht="15" hidden="false" customHeight="false" outlineLevel="0" collapsed="false">
      <c r="A61" s="1" t="s">
        <v>73</v>
      </c>
      <c r="B61" s="1" t="n">
        <f aca="false">VALUE(LEFT(A61,4))</f>
        <v>2021</v>
      </c>
      <c r="C61" s="1" t="n">
        <f aca="false">VALUE(RIGHT(A61,2))</f>
        <v>6</v>
      </c>
      <c r="D61" s="1" t="s">
        <v>44</v>
      </c>
      <c r="E61" s="1" t="n">
        <v>0.0223</v>
      </c>
      <c r="F61" s="1" t="n">
        <v>36.201</v>
      </c>
      <c r="G61" s="1" t="n">
        <v>10</v>
      </c>
      <c r="H61" s="4" t="b">
        <f aca="false">AND(E61&lt;&gt;"",F61&lt;=100,G61&gt;=2)</f>
        <v>1</v>
      </c>
    </row>
    <row r="62" customFormat="false" ht="15" hidden="false" customHeight="false" outlineLevel="0" collapsed="false">
      <c r="A62" s="1" t="s">
        <v>74</v>
      </c>
      <c r="B62" s="1" t="n">
        <f aca="false">VALUE(LEFT(A62,4))</f>
        <v>2021</v>
      </c>
      <c r="C62" s="1" t="n">
        <f aca="false">VALUE(RIGHT(A62,2))</f>
        <v>7</v>
      </c>
      <c r="D62" s="1" t="s">
        <v>43</v>
      </c>
      <c r="E62" s="1" t="n">
        <v>0.032256</v>
      </c>
      <c r="F62" s="1" t="n">
        <v>23.839</v>
      </c>
      <c r="G62" s="1" t="n">
        <v>7</v>
      </c>
      <c r="H62" s="4" t="b">
        <f aca="false">AND(E62&lt;&gt;"",F62&lt;=100,G62&gt;=2)</f>
        <v>1</v>
      </c>
    </row>
    <row r="63" customFormat="false" ht="15" hidden="false" customHeight="false" outlineLevel="0" collapsed="false">
      <c r="A63" s="1" t="s">
        <v>74</v>
      </c>
      <c r="B63" s="1" t="n">
        <f aca="false">VALUE(LEFT(A63,4))</f>
        <v>2021</v>
      </c>
      <c r="C63" s="1" t="n">
        <f aca="false">VALUE(RIGHT(A63,2))</f>
        <v>7</v>
      </c>
      <c r="D63" s="1" t="s">
        <v>44</v>
      </c>
      <c r="E63" s="1" t="n">
        <v>0.025143</v>
      </c>
      <c r="F63" s="1" t="n">
        <v>17.024</v>
      </c>
      <c r="G63" s="1" t="n">
        <v>7</v>
      </c>
      <c r="H63" s="4" t="b">
        <f aca="false">AND(E63&lt;&gt;"",F63&lt;=100,G63&gt;=2)</f>
        <v>1</v>
      </c>
    </row>
    <row r="64" customFormat="false" ht="15" hidden="false" customHeight="false" outlineLevel="0" collapsed="false">
      <c r="A64" s="1" t="s">
        <v>75</v>
      </c>
      <c r="B64" s="1" t="n">
        <f aca="false">VALUE(LEFT(A64,4))</f>
        <v>2021</v>
      </c>
      <c r="C64" s="1" t="n">
        <f aca="false">VALUE(RIGHT(A64,2))</f>
        <v>8</v>
      </c>
      <c r="D64" s="1" t="s">
        <v>43</v>
      </c>
      <c r="E64" s="1" t="n">
        <v>0.038335</v>
      </c>
      <c r="F64" s="1" t="n">
        <v>56.823</v>
      </c>
      <c r="G64" s="1" t="n">
        <v>6</v>
      </c>
      <c r="H64" s="4" t="b">
        <f aca="false">AND(E64&lt;&gt;"",F64&lt;=100,G64&gt;=2)</f>
        <v>1</v>
      </c>
    </row>
    <row r="65" customFormat="false" ht="15" hidden="false" customHeight="false" outlineLevel="0" collapsed="false">
      <c r="A65" s="1" t="s">
        <v>75</v>
      </c>
      <c r="B65" s="1" t="n">
        <f aca="false">VALUE(LEFT(A65,4))</f>
        <v>2021</v>
      </c>
      <c r="C65" s="1" t="n">
        <f aca="false">VALUE(RIGHT(A65,2))</f>
        <v>8</v>
      </c>
      <c r="D65" s="1" t="s">
        <v>44</v>
      </c>
      <c r="E65" s="1" t="n">
        <v>0.100449</v>
      </c>
      <c r="F65" s="1" t="n">
        <v>16.512</v>
      </c>
      <c r="G65" s="1" t="n">
        <v>6</v>
      </c>
      <c r="H65" s="4" t="b">
        <f aca="false">AND(E65&lt;&gt;"",F65&lt;=100,G65&gt;=2)</f>
        <v>1</v>
      </c>
    </row>
    <row r="66" customFormat="false" ht="15" hidden="false" customHeight="false" outlineLevel="0" collapsed="false">
      <c r="A66" s="1" t="s">
        <v>76</v>
      </c>
      <c r="B66" s="1" t="n">
        <f aca="false">VALUE(LEFT(A66,4))</f>
        <v>2021</v>
      </c>
      <c r="C66" s="1" t="n">
        <f aca="false">VALUE(RIGHT(A66,2))</f>
        <v>9</v>
      </c>
      <c r="D66" s="1" t="s">
        <v>43</v>
      </c>
      <c r="E66" s="1" t="n">
        <v>0.032902</v>
      </c>
      <c r="F66" s="1" t="n">
        <v>39.203</v>
      </c>
      <c r="G66" s="1" t="n">
        <v>5</v>
      </c>
      <c r="H66" s="4" t="b">
        <f aca="false">AND(E66&lt;&gt;"",F66&lt;=100,G66&gt;=2)</f>
        <v>1</v>
      </c>
    </row>
    <row r="67" customFormat="false" ht="15" hidden="false" customHeight="false" outlineLevel="0" collapsed="false">
      <c r="A67" s="1" t="s">
        <v>76</v>
      </c>
      <c r="B67" s="1" t="n">
        <f aca="false">VALUE(LEFT(A67,4))</f>
        <v>2021</v>
      </c>
      <c r="C67" s="1" t="n">
        <f aca="false">VALUE(RIGHT(A67,2))</f>
        <v>9</v>
      </c>
      <c r="D67" s="1" t="s">
        <v>44</v>
      </c>
      <c r="E67" s="1" t="n">
        <v>0.01935</v>
      </c>
      <c r="F67" s="1" t="n">
        <v>20.591</v>
      </c>
      <c r="G67" s="1" t="n">
        <v>5</v>
      </c>
      <c r="H67" s="4" t="b">
        <f aca="false">AND(E67&lt;&gt;"",F67&lt;=100,G67&gt;=2)</f>
        <v>1</v>
      </c>
    </row>
    <row r="68" customFormat="false" ht="15" hidden="false" customHeight="false" outlineLevel="0" collapsed="false">
      <c r="A68" s="1" t="s">
        <v>77</v>
      </c>
      <c r="B68" s="1" t="n">
        <f aca="false">VALUE(LEFT(A68,4))</f>
        <v>2021</v>
      </c>
      <c r="C68" s="1" t="n">
        <f aca="false">VALUE(RIGHT(A68,2))</f>
        <v>10</v>
      </c>
      <c r="D68" s="1" t="s">
        <v>43</v>
      </c>
      <c r="E68" s="1" t="n">
        <v>-0.005659</v>
      </c>
      <c r="F68" s="1" t="n">
        <v>13.259</v>
      </c>
      <c r="G68" s="1" t="n">
        <v>13</v>
      </c>
      <c r="H68" s="4" t="b">
        <f aca="false">AND(E68&lt;&gt;"",F68&lt;=100,G68&gt;=2)</f>
        <v>1</v>
      </c>
    </row>
    <row r="69" customFormat="false" ht="15" hidden="false" customHeight="false" outlineLevel="0" collapsed="false">
      <c r="A69" s="1" t="s">
        <v>77</v>
      </c>
      <c r="B69" s="1" t="n">
        <f aca="false">VALUE(LEFT(A69,4))</f>
        <v>2021</v>
      </c>
      <c r="C69" s="1" t="n">
        <f aca="false">VALUE(RIGHT(A69,2))</f>
        <v>10</v>
      </c>
      <c r="D69" s="1" t="s">
        <v>44</v>
      </c>
      <c r="E69" s="1" t="n">
        <v>-0.013563</v>
      </c>
      <c r="F69" s="1" t="n">
        <v>17.773</v>
      </c>
      <c r="G69" s="1" t="n">
        <v>13</v>
      </c>
      <c r="H69" s="4" t="b">
        <f aca="false">AND(E69&lt;&gt;"",F69&lt;=100,G69&gt;=2)</f>
        <v>1</v>
      </c>
    </row>
    <row r="70" customFormat="false" ht="15" hidden="false" customHeight="false" outlineLevel="0" collapsed="false">
      <c r="A70" s="1" t="s">
        <v>78</v>
      </c>
      <c r="B70" s="1" t="n">
        <f aca="false">VALUE(LEFT(A70,4))</f>
        <v>2021</v>
      </c>
      <c r="C70" s="1" t="n">
        <f aca="false">VALUE(RIGHT(A70,2))</f>
        <v>11</v>
      </c>
      <c r="D70" s="1" t="s">
        <v>43</v>
      </c>
      <c r="E70" s="1" t="n">
        <v>0.025109</v>
      </c>
      <c r="F70" s="1" t="n">
        <v>24.685</v>
      </c>
      <c r="G70" s="1" t="n">
        <v>3</v>
      </c>
      <c r="H70" s="4" t="b">
        <f aca="false">AND(E70&lt;&gt;"",F70&lt;=100,G70&gt;=2)</f>
        <v>1</v>
      </c>
    </row>
    <row r="71" customFormat="false" ht="15" hidden="false" customHeight="false" outlineLevel="0" collapsed="false">
      <c r="A71" s="1" t="s">
        <v>78</v>
      </c>
      <c r="B71" s="1" t="n">
        <f aca="false">VALUE(LEFT(A71,4))</f>
        <v>2021</v>
      </c>
      <c r="C71" s="1" t="n">
        <f aca="false">VALUE(RIGHT(A71,2))</f>
        <v>11</v>
      </c>
      <c r="D71" s="1" t="s">
        <v>44</v>
      </c>
      <c r="E71" s="1" t="n">
        <v>0.035183</v>
      </c>
      <c r="F71" s="1" t="n">
        <v>37.692</v>
      </c>
      <c r="G71" s="1" t="n">
        <v>3</v>
      </c>
      <c r="H71" s="4" t="b">
        <f aca="false">AND(E71&lt;&gt;"",F71&lt;=100,G71&gt;=2)</f>
        <v>1</v>
      </c>
    </row>
    <row r="72" customFormat="false" ht="15" hidden="false" customHeight="false" outlineLevel="0" collapsed="false">
      <c r="A72" s="1" t="s">
        <v>79</v>
      </c>
      <c r="B72" s="1" t="n">
        <f aca="false">VALUE(LEFT(A72,4))</f>
        <v>2021</v>
      </c>
      <c r="C72" s="1" t="n">
        <f aca="false">VALUE(RIGHT(A72,2))</f>
        <v>12</v>
      </c>
      <c r="D72" s="1" t="s">
        <v>43</v>
      </c>
      <c r="E72" s="1"/>
      <c r="F72" s="1"/>
      <c r="G72" s="1" t="n">
        <v>4</v>
      </c>
      <c r="H72" s="4" t="b">
        <f aca="false">AND(E72&lt;&gt;"",F72&lt;=100,G72&gt;=2)</f>
        <v>0</v>
      </c>
    </row>
    <row r="73" customFormat="false" ht="15" hidden="false" customHeight="false" outlineLevel="0" collapsed="false">
      <c r="A73" s="1" t="s">
        <v>79</v>
      </c>
      <c r="B73" s="1" t="n">
        <f aca="false">VALUE(LEFT(A73,4))</f>
        <v>2021</v>
      </c>
      <c r="C73" s="1" t="n">
        <f aca="false">VALUE(RIGHT(A73,2))</f>
        <v>12</v>
      </c>
      <c r="D73" s="1" t="s">
        <v>44</v>
      </c>
      <c r="E73" s="1" t="n">
        <v>-0.002714</v>
      </c>
      <c r="F73" s="1" t="n">
        <v>38.889</v>
      </c>
      <c r="G73" s="1" t="n">
        <v>4</v>
      </c>
      <c r="H73" s="4" t="b">
        <f aca="false">AND(E73&lt;&gt;"",F73&lt;=100,G73&gt;=2)</f>
        <v>1</v>
      </c>
    </row>
    <row r="74" customFormat="false" ht="15" hidden="false" customHeight="false" outlineLevel="0" collapsed="false">
      <c r="A74" s="1" t="s">
        <v>80</v>
      </c>
      <c r="B74" s="1" t="n">
        <f aca="false">VALUE(LEFT(A74,4))</f>
        <v>2022</v>
      </c>
      <c r="C74" s="1" t="n">
        <f aca="false">VALUE(RIGHT(A74,2))</f>
        <v>1</v>
      </c>
      <c r="D74" s="1" t="s">
        <v>43</v>
      </c>
      <c r="E74" s="1" t="n">
        <v>0.011916</v>
      </c>
      <c r="F74" s="1" t="n">
        <v>16.003</v>
      </c>
      <c r="G74" s="1" t="n">
        <v>11</v>
      </c>
      <c r="H74" s="4" t="b">
        <f aca="false">AND(E74&lt;&gt;"",F74&lt;=100,G74&gt;=2)</f>
        <v>1</v>
      </c>
    </row>
    <row r="75" customFormat="false" ht="15" hidden="false" customHeight="false" outlineLevel="0" collapsed="false">
      <c r="A75" s="1" t="s">
        <v>80</v>
      </c>
      <c r="B75" s="1" t="n">
        <f aca="false">VALUE(LEFT(A75,4))</f>
        <v>2022</v>
      </c>
      <c r="C75" s="1" t="n">
        <f aca="false">VALUE(RIGHT(A75,2))</f>
        <v>1</v>
      </c>
      <c r="D75" s="1" t="s">
        <v>44</v>
      </c>
      <c r="E75" s="1" t="n">
        <v>0.004155</v>
      </c>
      <c r="F75" s="1" t="n">
        <v>12.322</v>
      </c>
      <c r="G75" s="1" t="n">
        <v>11</v>
      </c>
      <c r="H75" s="4" t="b">
        <f aca="false">AND(E75&lt;&gt;"",F75&lt;=100,G75&gt;=2)</f>
        <v>1</v>
      </c>
    </row>
    <row r="76" customFormat="false" ht="15" hidden="false" customHeight="false" outlineLevel="0" collapsed="false">
      <c r="A76" s="1" t="s">
        <v>81</v>
      </c>
      <c r="B76" s="1" t="n">
        <f aca="false">VALUE(LEFT(A76,4))</f>
        <v>2022</v>
      </c>
      <c r="C76" s="1" t="n">
        <f aca="false">VALUE(RIGHT(A76,2))</f>
        <v>2</v>
      </c>
      <c r="D76" s="1" t="s">
        <v>43</v>
      </c>
      <c r="E76" s="1" t="n">
        <v>0.027259</v>
      </c>
      <c r="F76" s="1" t="n">
        <v>10.422</v>
      </c>
      <c r="G76" s="1" t="n">
        <v>3</v>
      </c>
      <c r="H76" s="4" t="b">
        <f aca="false">AND(E76&lt;&gt;"",F76&lt;=100,G76&gt;=2)</f>
        <v>1</v>
      </c>
    </row>
    <row r="77" customFormat="false" ht="15" hidden="false" customHeight="false" outlineLevel="0" collapsed="false">
      <c r="A77" s="1" t="s">
        <v>81</v>
      </c>
      <c r="B77" s="1" t="n">
        <f aca="false">VALUE(LEFT(A77,4))</f>
        <v>2022</v>
      </c>
      <c r="C77" s="1" t="n">
        <f aca="false">VALUE(RIGHT(A77,2))</f>
        <v>2</v>
      </c>
      <c r="D77" s="1" t="s">
        <v>44</v>
      </c>
      <c r="E77" s="1" t="n">
        <v>0.002044</v>
      </c>
      <c r="F77" s="1" t="n">
        <v>6.967</v>
      </c>
      <c r="G77" s="1" t="n">
        <v>3</v>
      </c>
      <c r="H77" s="4" t="b">
        <f aca="false">AND(E77&lt;&gt;"",F77&lt;=100,G77&gt;=2)</f>
        <v>1</v>
      </c>
    </row>
    <row r="78" customFormat="false" ht="15" hidden="false" customHeight="false" outlineLevel="0" collapsed="false">
      <c r="A78" s="1" t="s">
        <v>82</v>
      </c>
      <c r="B78" s="1" t="n">
        <f aca="false">VALUE(LEFT(A78,4))</f>
        <v>2022</v>
      </c>
      <c r="C78" s="1" t="n">
        <f aca="false">VALUE(RIGHT(A78,2))</f>
        <v>3</v>
      </c>
      <c r="D78" s="1" t="s">
        <v>43</v>
      </c>
      <c r="E78" s="1" t="n">
        <v>0.000452</v>
      </c>
      <c r="F78" s="1" t="n">
        <v>14.354</v>
      </c>
      <c r="G78" s="1" t="n">
        <v>13</v>
      </c>
      <c r="H78" s="4" t="b">
        <f aca="false">AND(E78&lt;&gt;"",F78&lt;=100,G78&gt;=2)</f>
        <v>1</v>
      </c>
    </row>
    <row r="79" customFormat="false" ht="15" hidden="false" customHeight="false" outlineLevel="0" collapsed="false">
      <c r="A79" s="1" t="s">
        <v>82</v>
      </c>
      <c r="B79" s="1" t="n">
        <f aca="false">VALUE(LEFT(A79,4))</f>
        <v>2022</v>
      </c>
      <c r="C79" s="1" t="n">
        <f aca="false">VALUE(RIGHT(A79,2))</f>
        <v>3</v>
      </c>
      <c r="D79" s="1" t="s">
        <v>44</v>
      </c>
      <c r="E79" s="1" t="n">
        <v>0.008587</v>
      </c>
      <c r="F79" s="1" t="n">
        <v>11.413</v>
      </c>
      <c r="G79" s="1" t="n">
        <v>13</v>
      </c>
      <c r="H79" s="4" t="b">
        <f aca="false">AND(E79&lt;&gt;"",F79&lt;=100,G79&gt;=2)</f>
        <v>1</v>
      </c>
    </row>
    <row r="80" customFormat="false" ht="15" hidden="false" customHeight="false" outlineLevel="0" collapsed="false">
      <c r="A80" s="1" t="s">
        <v>83</v>
      </c>
      <c r="B80" s="1" t="n">
        <f aca="false">VALUE(LEFT(A80,4))</f>
        <v>2022</v>
      </c>
      <c r="C80" s="1" t="n">
        <f aca="false">VALUE(RIGHT(A80,2))</f>
        <v>4</v>
      </c>
      <c r="D80" s="1" t="s">
        <v>43</v>
      </c>
      <c r="E80" s="1"/>
      <c r="F80" s="1"/>
      <c r="G80" s="1" t="n">
        <v>6</v>
      </c>
      <c r="H80" s="4" t="b">
        <f aca="false">AND(E80&lt;&gt;"",F80&lt;=100,G80&gt;=2)</f>
        <v>0</v>
      </c>
    </row>
    <row r="81" customFormat="false" ht="15" hidden="false" customHeight="false" outlineLevel="0" collapsed="false">
      <c r="A81" s="1" t="s">
        <v>83</v>
      </c>
      <c r="B81" s="1" t="n">
        <f aca="false">VALUE(LEFT(A81,4))</f>
        <v>2022</v>
      </c>
      <c r="C81" s="1" t="n">
        <f aca="false">VALUE(RIGHT(A81,2))</f>
        <v>4</v>
      </c>
      <c r="D81" s="1" t="s">
        <v>44</v>
      </c>
      <c r="E81" s="1" t="n">
        <v>-0.010952</v>
      </c>
      <c r="F81" s="1" t="n">
        <v>32.878</v>
      </c>
      <c r="G81" s="1" t="n">
        <v>6</v>
      </c>
      <c r="H81" s="4" t="b">
        <f aca="false">AND(E81&lt;&gt;"",F81&lt;=100,G81&gt;=2)</f>
        <v>1</v>
      </c>
    </row>
    <row r="82" customFormat="false" ht="15" hidden="false" customHeight="false" outlineLevel="0" collapsed="false">
      <c r="A82" s="1" t="s">
        <v>84</v>
      </c>
      <c r="B82" s="1" t="n">
        <f aca="false">VALUE(LEFT(A82,4))</f>
        <v>2022</v>
      </c>
      <c r="C82" s="1" t="n">
        <f aca="false">VALUE(RIGHT(A82,2))</f>
        <v>5</v>
      </c>
      <c r="D82" s="1" t="s">
        <v>43</v>
      </c>
      <c r="E82" s="1" t="n">
        <v>0.024989</v>
      </c>
      <c r="F82" s="1" t="n">
        <v>18.616</v>
      </c>
      <c r="G82" s="1" t="n">
        <v>7</v>
      </c>
      <c r="H82" s="4" t="b">
        <f aca="false">AND(E82&lt;&gt;"",F82&lt;=100,G82&gt;=2)</f>
        <v>1</v>
      </c>
    </row>
    <row r="83" customFormat="false" ht="15" hidden="false" customHeight="false" outlineLevel="0" collapsed="false">
      <c r="A83" s="1" t="s">
        <v>84</v>
      </c>
      <c r="B83" s="1" t="n">
        <f aca="false">VALUE(LEFT(A83,4))</f>
        <v>2022</v>
      </c>
      <c r="C83" s="1" t="n">
        <f aca="false">VALUE(RIGHT(A83,2))</f>
        <v>5</v>
      </c>
      <c r="D83" s="1" t="s">
        <v>44</v>
      </c>
      <c r="E83" s="1" t="n">
        <v>0.058377</v>
      </c>
      <c r="F83" s="1" t="n">
        <v>17.11</v>
      </c>
      <c r="G83" s="1" t="n">
        <v>7</v>
      </c>
      <c r="H83" s="4" t="b">
        <f aca="false">AND(E83&lt;&gt;"",F83&lt;=100,G83&gt;=2)</f>
        <v>1</v>
      </c>
    </row>
    <row r="84" customFormat="false" ht="15" hidden="false" customHeight="false" outlineLevel="0" collapsed="false">
      <c r="A84" s="1" t="s">
        <v>85</v>
      </c>
      <c r="B84" s="1" t="n">
        <f aca="false">VALUE(LEFT(A84,4))</f>
        <v>2022</v>
      </c>
      <c r="C84" s="1" t="n">
        <f aca="false">VALUE(RIGHT(A84,2))</f>
        <v>6</v>
      </c>
      <c r="D84" s="1" t="s">
        <v>43</v>
      </c>
      <c r="E84" s="1"/>
      <c r="F84" s="1"/>
      <c r="G84" s="1" t="n">
        <v>3</v>
      </c>
      <c r="H84" s="4" t="b">
        <f aca="false">AND(E84&lt;&gt;"",F84&lt;=100,G84&gt;=2)</f>
        <v>0</v>
      </c>
    </row>
    <row r="85" customFormat="false" ht="15" hidden="false" customHeight="false" outlineLevel="0" collapsed="false">
      <c r="A85" s="1" t="s">
        <v>85</v>
      </c>
      <c r="B85" s="1" t="n">
        <f aca="false">VALUE(LEFT(A85,4))</f>
        <v>2022</v>
      </c>
      <c r="C85" s="1" t="n">
        <f aca="false">VALUE(RIGHT(A85,2))</f>
        <v>6</v>
      </c>
      <c r="D85" s="1" t="s">
        <v>44</v>
      </c>
      <c r="E85" s="1" t="n">
        <v>-0.030915</v>
      </c>
      <c r="F85" s="1" t="n">
        <v>6.511</v>
      </c>
      <c r="G85" s="1" t="n">
        <v>3</v>
      </c>
      <c r="H85" s="4" t="b">
        <f aca="false">AND(E85&lt;&gt;"",F85&lt;=100,G85&gt;=2)</f>
        <v>1</v>
      </c>
    </row>
    <row r="86" customFormat="false" ht="15" hidden="false" customHeight="false" outlineLevel="0" collapsed="false">
      <c r="A86" s="1" t="s">
        <v>86</v>
      </c>
      <c r="B86" s="1" t="n">
        <f aca="false">VALUE(LEFT(A86,4))</f>
        <v>2022</v>
      </c>
      <c r="C86" s="1" t="n">
        <f aca="false">VALUE(RIGHT(A86,2))</f>
        <v>7</v>
      </c>
      <c r="D86" s="1" t="s">
        <v>43</v>
      </c>
      <c r="E86" s="1" t="n">
        <v>0.052904</v>
      </c>
      <c r="F86" s="1" t="n">
        <v>15.578</v>
      </c>
      <c r="G86" s="1" t="n">
        <v>6</v>
      </c>
      <c r="H86" s="4" t="b">
        <f aca="false">AND(E86&lt;&gt;"",F86&lt;=100,G86&gt;=2)</f>
        <v>1</v>
      </c>
    </row>
    <row r="87" customFormat="false" ht="15" hidden="false" customHeight="false" outlineLevel="0" collapsed="false">
      <c r="A87" s="1" t="s">
        <v>86</v>
      </c>
      <c r="B87" s="1" t="n">
        <f aca="false">VALUE(LEFT(A87,4))</f>
        <v>2022</v>
      </c>
      <c r="C87" s="1" t="n">
        <f aca="false">VALUE(RIGHT(A87,2))</f>
        <v>7</v>
      </c>
      <c r="D87" s="1" t="s">
        <v>44</v>
      </c>
      <c r="E87" s="1" t="n">
        <v>0.006417</v>
      </c>
      <c r="F87" s="1" t="n">
        <v>20.905</v>
      </c>
      <c r="G87" s="1" t="n">
        <v>6</v>
      </c>
      <c r="H87" s="4" t="b">
        <f aca="false">AND(E87&lt;&gt;"",F87&lt;=100,G87&gt;=2)</f>
        <v>1</v>
      </c>
    </row>
    <row r="88" customFormat="false" ht="15" hidden="false" customHeight="false" outlineLevel="0" collapsed="false">
      <c r="A88" s="1" t="s">
        <v>87</v>
      </c>
      <c r="B88" s="1" t="n">
        <f aca="false">VALUE(LEFT(A88,4))</f>
        <v>2022</v>
      </c>
      <c r="C88" s="1" t="n">
        <f aca="false">VALUE(RIGHT(A88,2))</f>
        <v>8</v>
      </c>
      <c r="D88" s="1" t="s">
        <v>43</v>
      </c>
      <c r="E88" s="1" t="n">
        <v>0.031045</v>
      </c>
      <c r="F88" s="1" t="n">
        <v>10.452</v>
      </c>
      <c r="G88" s="1" t="n">
        <v>12</v>
      </c>
      <c r="H88" s="4" t="b">
        <f aca="false">AND(E88&lt;&gt;"",F88&lt;=100,G88&gt;=2)</f>
        <v>1</v>
      </c>
    </row>
    <row r="89" customFormat="false" ht="15" hidden="false" customHeight="false" outlineLevel="0" collapsed="false">
      <c r="A89" s="1" t="s">
        <v>87</v>
      </c>
      <c r="B89" s="1" t="n">
        <f aca="false">VALUE(LEFT(A89,4))</f>
        <v>2022</v>
      </c>
      <c r="C89" s="1" t="n">
        <f aca="false">VALUE(RIGHT(A89,2))</f>
        <v>8</v>
      </c>
      <c r="D89" s="1" t="s">
        <v>44</v>
      </c>
      <c r="E89" s="1" t="n">
        <v>0.020846</v>
      </c>
      <c r="F89" s="1" t="n">
        <v>12.085</v>
      </c>
      <c r="G89" s="1" t="n">
        <v>12</v>
      </c>
      <c r="H89" s="4" t="b">
        <f aca="false">AND(E89&lt;&gt;"",F89&lt;=100,G89&gt;=2)</f>
        <v>1</v>
      </c>
    </row>
    <row r="90" customFormat="false" ht="15" hidden="false" customHeight="false" outlineLevel="0" collapsed="false">
      <c r="A90" s="1" t="s">
        <v>88</v>
      </c>
      <c r="B90" s="1" t="n">
        <f aca="false">VALUE(LEFT(A90,4))</f>
        <v>2022</v>
      </c>
      <c r="C90" s="1" t="n">
        <f aca="false">VALUE(RIGHT(A90,2))</f>
        <v>9</v>
      </c>
      <c r="D90" s="1" t="s">
        <v>43</v>
      </c>
      <c r="E90" s="1"/>
      <c r="F90" s="1"/>
      <c r="G90" s="1" t="n">
        <v>3</v>
      </c>
      <c r="H90" s="4" t="b">
        <f aca="false">AND(E90&lt;&gt;"",F90&lt;=100,G90&gt;=2)</f>
        <v>0</v>
      </c>
    </row>
    <row r="91" customFormat="false" ht="15" hidden="false" customHeight="false" outlineLevel="0" collapsed="false">
      <c r="A91" s="1" t="s">
        <v>88</v>
      </c>
      <c r="B91" s="1" t="n">
        <f aca="false">VALUE(LEFT(A91,4))</f>
        <v>2022</v>
      </c>
      <c r="C91" s="1" t="n">
        <f aca="false">VALUE(RIGHT(A91,2))</f>
        <v>9</v>
      </c>
      <c r="D91" s="1" t="s">
        <v>44</v>
      </c>
      <c r="E91" s="1"/>
      <c r="F91" s="1"/>
      <c r="G91" s="1" t="n">
        <v>3</v>
      </c>
      <c r="H91" s="4" t="b">
        <f aca="false">AND(E91&lt;&gt;"",F91&lt;=100,G91&gt;=2)</f>
        <v>0</v>
      </c>
    </row>
    <row r="92" customFormat="false" ht="15" hidden="false" customHeight="false" outlineLevel="0" collapsed="false">
      <c r="A92" s="1" t="s">
        <v>89</v>
      </c>
      <c r="B92" s="1" t="n">
        <f aca="false">VALUE(LEFT(A92,4))</f>
        <v>2022</v>
      </c>
      <c r="C92" s="1" t="n">
        <f aca="false">VALUE(RIGHT(A92,2))</f>
        <v>10</v>
      </c>
      <c r="D92" s="1" t="s">
        <v>43</v>
      </c>
      <c r="E92" s="1"/>
      <c r="F92" s="1"/>
      <c r="G92" s="1" t="n">
        <v>1</v>
      </c>
      <c r="H92" s="4" t="b">
        <f aca="false">AND(E92&lt;&gt;"",F92&lt;=100,G92&gt;=2)</f>
        <v>0</v>
      </c>
    </row>
    <row r="93" customFormat="false" ht="15" hidden="false" customHeight="false" outlineLevel="0" collapsed="false">
      <c r="A93" s="1" t="s">
        <v>89</v>
      </c>
      <c r="B93" s="1" t="n">
        <f aca="false">VALUE(LEFT(A93,4))</f>
        <v>2022</v>
      </c>
      <c r="C93" s="1" t="n">
        <f aca="false">VALUE(RIGHT(A93,2))</f>
        <v>10</v>
      </c>
      <c r="D93" s="1" t="s">
        <v>44</v>
      </c>
      <c r="E93" s="1"/>
      <c r="F93" s="1"/>
      <c r="G93" s="1" t="n">
        <v>1</v>
      </c>
      <c r="H93" s="4" t="b">
        <f aca="false">AND(E93&lt;&gt;"",F93&lt;=100,G93&gt;=2)</f>
        <v>0</v>
      </c>
    </row>
    <row r="94" customFormat="false" ht="15" hidden="false" customHeight="false" outlineLevel="0" collapsed="false">
      <c r="A94" s="1" t="s">
        <v>90</v>
      </c>
      <c r="B94" s="1" t="n">
        <f aca="false">VALUE(LEFT(A94,4))</f>
        <v>2022</v>
      </c>
      <c r="C94" s="1" t="n">
        <f aca="false">VALUE(RIGHT(A94,2))</f>
        <v>11</v>
      </c>
      <c r="D94" s="1" t="s">
        <v>43</v>
      </c>
      <c r="E94" s="1"/>
      <c r="F94" s="1"/>
      <c r="G94" s="1" t="n">
        <v>0</v>
      </c>
      <c r="H94" s="4" t="b">
        <f aca="false">AND(E94&lt;&gt;"",F94&lt;=100,G94&gt;=2)</f>
        <v>0</v>
      </c>
    </row>
    <row r="95" customFormat="false" ht="15" hidden="false" customHeight="false" outlineLevel="0" collapsed="false">
      <c r="A95" s="1" t="s">
        <v>90</v>
      </c>
      <c r="B95" s="1" t="n">
        <f aca="false">VALUE(LEFT(A95,4))</f>
        <v>2022</v>
      </c>
      <c r="C95" s="1" t="n">
        <f aca="false">VALUE(RIGHT(A95,2))</f>
        <v>11</v>
      </c>
      <c r="D95" s="1" t="s">
        <v>44</v>
      </c>
      <c r="E95" s="1"/>
      <c r="F95" s="1"/>
      <c r="G95" s="1" t="n">
        <v>0</v>
      </c>
      <c r="H95" s="4" t="b">
        <f aca="false">AND(E95&lt;&gt;"",F95&lt;=100,G95&gt;=2)</f>
        <v>0</v>
      </c>
    </row>
    <row r="96" customFormat="false" ht="15" hidden="false" customHeight="false" outlineLevel="0" collapsed="false">
      <c r="A96" s="1" t="s">
        <v>91</v>
      </c>
      <c r="B96" s="1" t="n">
        <f aca="false">VALUE(LEFT(A96,4))</f>
        <v>2022</v>
      </c>
      <c r="C96" s="1" t="n">
        <f aca="false">VALUE(RIGHT(A96,2))</f>
        <v>12</v>
      </c>
      <c r="D96" s="1" t="s">
        <v>43</v>
      </c>
      <c r="E96" s="1"/>
      <c r="F96" s="1"/>
      <c r="G96" s="1" t="n">
        <v>0</v>
      </c>
      <c r="H96" s="4" t="b">
        <f aca="false">AND(E96&lt;&gt;"",F96&lt;=100,G96&gt;=2)</f>
        <v>0</v>
      </c>
    </row>
    <row r="97" customFormat="false" ht="15" hidden="false" customHeight="false" outlineLevel="0" collapsed="false">
      <c r="A97" s="1" t="s">
        <v>91</v>
      </c>
      <c r="B97" s="1" t="n">
        <f aca="false">VALUE(LEFT(A97,4))</f>
        <v>2022</v>
      </c>
      <c r="C97" s="1" t="n">
        <f aca="false">VALUE(RIGHT(A97,2))</f>
        <v>12</v>
      </c>
      <c r="D97" s="1" t="s">
        <v>44</v>
      </c>
      <c r="E97" s="1"/>
      <c r="F97" s="1"/>
      <c r="G97" s="1" t="n">
        <v>0</v>
      </c>
      <c r="H97" s="4" t="b">
        <f aca="false">AND(E97&lt;&gt;"",F97&lt;=100,G97&gt;=2)</f>
        <v>0</v>
      </c>
    </row>
    <row r="98" customFormat="false" ht="15" hidden="false" customHeight="false" outlineLevel="0" collapsed="false">
      <c r="A98" s="1" t="s">
        <v>92</v>
      </c>
      <c r="B98" s="1" t="n">
        <f aca="false">VALUE(LEFT(A98,4))</f>
        <v>2023</v>
      </c>
      <c r="C98" s="1" t="n">
        <f aca="false">VALUE(RIGHT(A98,2))</f>
        <v>1</v>
      </c>
      <c r="D98" s="1" t="s">
        <v>43</v>
      </c>
      <c r="E98" s="1" t="n">
        <v>-0.008046</v>
      </c>
      <c r="F98" s="1" t="n">
        <v>9.123</v>
      </c>
      <c r="G98" s="1" t="n">
        <v>3</v>
      </c>
      <c r="H98" s="4" t="b">
        <f aca="false">AND(E98&lt;&gt;"",F98&lt;=100,G98&gt;=2)</f>
        <v>1</v>
      </c>
    </row>
    <row r="99" customFormat="false" ht="15" hidden="false" customHeight="false" outlineLevel="0" collapsed="false">
      <c r="A99" s="1" t="s">
        <v>92</v>
      </c>
      <c r="B99" s="1" t="n">
        <f aca="false">VALUE(LEFT(A99,4))</f>
        <v>2023</v>
      </c>
      <c r="C99" s="1" t="n">
        <f aca="false">VALUE(RIGHT(A99,2))</f>
        <v>1</v>
      </c>
      <c r="D99" s="1" t="s">
        <v>44</v>
      </c>
      <c r="E99" s="1" t="n">
        <v>0.023121</v>
      </c>
      <c r="F99" s="1" t="n">
        <v>29.895</v>
      </c>
      <c r="G99" s="1" t="n">
        <v>3</v>
      </c>
      <c r="H99" s="4" t="b">
        <f aca="false">AND(E99&lt;&gt;"",F99&lt;=100,G99&gt;=2)</f>
        <v>1</v>
      </c>
    </row>
    <row r="100" customFormat="false" ht="15" hidden="false" customHeight="false" outlineLevel="0" collapsed="false">
      <c r="A100" s="1" t="s">
        <v>93</v>
      </c>
      <c r="B100" s="1" t="n">
        <f aca="false">VALUE(LEFT(A100,4))</f>
        <v>2023</v>
      </c>
      <c r="C100" s="1" t="n">
        <f aca="false">VALUE(RIGHT(A100,2))</f>
        <v>2</v>
      </c>
      <c r="D100" s="1" t="s">
        <v>43</v>
      </c>
      <c r="E100" s="1" t="n">
        <v>0.009691</v>
      </c>
      <c r="F100" s="1" t="n">
        <v>20.516</v>
      </c>
      <c r="G100" s="1" t="n">
        <v>4</v>
      </c>
      <c r="H100" s="4" t="b">
        <f aca="false">AND(E100&lt;&gt;"",F100&lt;=100,G100&gt;=2)</f>
        <v>1</v>
      </c>
    </row>
    <row r="101" customFormat="false" ht="15" hidden="false" customHeight="false" outlineLevel="0" collapsed="false">
      <c r="A101" s="1" t="s">
        <v>93</v>
      </c>
      <c r="B101" s="1" t="n">
        <f aca="false">VALUE(LEFT(A101,4))</f>
        <v>2023</v>
      </c>
      <c r="C101" s="1" t="n">
        <f aca="false">VALUE(RIGHT(A101,2))</f>
        <v>2</v>
      </c>
      <c r="D101" s="1" t="s">
        <v>44</v>
      </c>
      <c r="E101" s="1" t="n">
        <v>-0.004176</v>
      </c>
      <c r="F101" s="1" t="n">
        <v>35.935</v>
      </c>
      <c r="G101" s="1" t="n">
        <v>4</v>
      </c>
      <c r="H101" s="4" t="b">
        <f aca="false">AND(E101&lt;&gt;"",F101&lt;=100,G101&gt;=2)</f>
        <v>1</v>
      </c>
    </row>
    <row r="102" customFormat="false" ht="15" hidden="false" customHeight="false" outlineLevel="0" collapsed="false">
      <c r="A102" s="1" t="s">
        <v>94</v>
      </c>
      <c r="B102" s="1" t="n">
        <f aca="false">VALUE(LEFT(A102,4))</f>
        <v>2023</v>
      </c>
      <c r="C102" s="1" t="n">
        <f aca="false">VALUE(RIGHT(A102,2))</f>
        <v>3</v>
      </c>
      <c r="D102" s="1" t="s">
        <v>43</v>
      </c>
      <c r="E102" s="1" t="n">
        <v>0.028473</v>
      </c>
      <c r="F102" s="1" t="n">
        <v>47.9</v>
      </c>
      <c r="G102" s="1" t="n">
        <v>8</v>
      </c>
      <c r="H102" s="4" t="b">
        <f aca="false">AND(E102&lt;&gt;"",F102&lt;=100,G102&gt;=2)</f>
        <v>1</v>
      </c>
    </row>
    <row r="103" customFormat="false" ht="15" hidden="false" customHeight="false" outlineLevel="0" collapsed="false">
      <c r="A103" s="1" t="s">
        <v>94</v>
      </c>
      <c r="B103" s="1" t="n">
        <f aca="false">VALUE(LEFT(A103,4))</f>
        <v>2023</v>
      </c>
      <c r="C103" s="1" t="n">
        <f aca="false">VALUE(RIGHT(A103,2))</f>
        <v>3</v>
      </c>
      <c r="D103" s="1" t="s">
        <v>44</v>
      </c>
      <c r="E103" s="1" t="n">
        <v>0.029766</v>
      </c>
      <c r="F103" s="1" t="n">
        <v>37.973</v>
      </c>
      <c r="G103" s="1" t="n">
        <v>8</v>
      </c>
      <c r="H103" s="4" t="b">
        <f aca="false">AND(E103&lt;&gt;"",F103&lt;=100,G103&gt;=2)</f>
        <v>1</v>
      </c>
    </row>
    <row r="104" customFormat="false" ht="15" hidden="false" customHeight="false" outlineLevel="0" collapsed="false">
      <c r="A104" s="1" t="s">
        <v>95</v>
      </c>
      <c r="B104" s="1" t="n">
        <f aca="false">VALUE(LEFT(A104,4))</f>
        <v>2023</v>
      </c>
      <c r="C104" s="1" t="n">
        <f aca="false">VALUE(RIGHT(A104,2))</f>
        <v>4</v>
      </c>
      <c r="D104" s="1" t="s">
        <v>43</v>
      </c>
      <c r="E104" s="1" t="n">
        <v>0.018965</v>
      </c>
      <c r="F104" s="1" t="n">
        <v>24.026</v>
      </c>
      <c r="G104" s="1" t="n">
        <v>11</v>
      </c>
      <c r="H104" s="4" t="b">
        <f aca="false">AND(E104&lt;&gt;"",F104&lt;=100,G104&gt;=2)</f>
        <v>1</v>
      </c>
    </row>
    <row r="105" customFormat="false" ht="15" hidden="false" customHeight="false" outlineLevel="0" collapsed="false">
      <c r="A105" s="1" t="s">
        <v>95</v>
      </c>
      <c r="B105" s="1" t="n">
        <f aca="false">VALUE(LEFT(A105,4))</f>
        <v>2023</v>
      </c>
      <c r="C105" s="1" t="n">
        <f aca="false">VALUE(RIGHT(A105,2))</f>
        <v>4</v>
      </c>
      <c r="D105" s="1" t="s">
        <v>44</v>
      </c>
      <c r="E105" s="1" t="n">
        <v>0.017397</v>
      </c>
      <c r="F105" s="1" t="n">
        <v>23.067</v>
      </c>
      <c r="G105" s="1" t="n">
        <v>11</v>
      </c>
      <c r="H105" s="4" t="b">
        <f aca="false">AND(E105&lt;&gt;"",F105&lt;=100,G105&gt;=2)</f>
        <v>1</v>
      </c>
    </row>
    <row r="106" customFormat="false" ht="15" hidden="false" customHeight="false" outlineLevel="0" collapsed="false">
      <c r="A106" s="1" t="s">
        <v>96</v>
      </c>
      <c r="B106" s="1" t="n">
        <f aca="false">VALUE(LEFT(A106,4))</f>
        <v>2023</v>
      </c>
      <c r="C106" s="1" t="n">
        <f aca="false">VALUE(RIGHT(A106,2))</f>
        <v>5</v>
      </c>
      <c r="D106" s="1" t="s">
        <v>43</v>
      </c>
      <c r="E106" s="1" t="n">
        <v>0.032421</v>
      </c>
      <c r="F106" s="1" t="n">
        <v>16.908</v>
      </c>
      <c r="G106" s="1" t="n">
        <v>12</v>
      </c>
      <c r="H106" s="4" t="b">
        <f aca="false">AND(E106&lt;&gt;"",F106&lt;=100,G106&gt;=2)</f>
        <v>1</v>
      </c>
    </row>
    <row r="107" customFormat="false" ht="15" hidden="false" customHeight="false" outlineLevel="0" collapsed="false">
      <c r="A107" s="1" t="s">
        <v>96</v>
      </c>
      <c r="B107" s="1" t="n">
        <f aca="false">VALUE(LEFT(A107,4))</f>
        <v>2023</v>
      </c>
      <c r="C107" s="1" t="n">
        <f aca="false">VALUE(RIGHT(A107,2))</f>
        <v>5</v>
      </c>
      <c r="D107" s="1" t="s">
        <v>44</v>
      </c>
      <c r="E107" s="1" t="n">
        <v>0.031036</v>
      </c>
      <c r="F107" s="1" t="n">
        <v>25.01</v>
      </c>
      <c r="G107" s="1" t="n">
        <v>12</v>
      </c>
      <c r="H107" s="4" t="b">
        <f aca="false">AND(E107&lt;&gt;"",F107&lt;=100,G107&gt;=2)</f>
        <v>1</v>
      </c>
    </row>
    <row r="108" customFormat="false" ht="15" hidden="false" customHeight="false" outlineLevel="0" collapsed="false">
      <c r="A108" s="1" t="s">
        <v>97</v>
      </c>
      <c r="B108" s="1" t="n">
        <f aca="false">VALUE(LEFT(A108,4))</f>
        <v>2023</v>
      </c>
      <c r="C108" s="1" t="n">
        <f aca="false">VALUE(RIGHT(A108,2))</f>
        <v>6</v>
      </c>
      <c r="D108" s="1" t="s">
        <v>43</v>
      </c>
      <c r="E108" s="1" t="n">
        <v>0.061317</v>
      </c>
      <c r="F108" s="1" t="n">
        <v>17.687</v>
      </c>
      <c r="G108" s="1" t="n">
        <v>12</v>
      </c>
      <c r="H108" s="4" t="b">
        <f aca="false">AND(E108&lt;&gt;"",F108&lt;=100,G108&gt;=2)</f>
        <v>1</v>
      </c>
    </row>
    <row r="109" customFormat="false" ht="15" hidden="false" customHeight="false" outlineLevel="0" collapsed="false">
      <c r="A109" s="1" t="s">
        <v>97</v>
      </c>
      <c r="B109" s="1" t="n">
        <f aca="false">VALUE(LEFT(A109,4))</f>
        <v>2023</v>
      </c>
      <c r="C109" s="1" t="n">
        <f aca="false">VALUE(RIGHT(A109,2))</f>
        <v>6</v>
      </c>
      <c r="D109" s="1" t="s">
        <v>44</v>
      </c>
      <c r="E109" s="1" t="n">
        <v>0.018371</v>
      </c>
      <c r="F109" s="1" t="n">
        <v>9.214</v>
      </c>
      <c r="G109" s="1" t="n">
        <v>12</v>
      </c>
      <c r="H109" s="4" t="b">
        <f aca="false">AND(E109&lt;&gt;"",F109&lt;=100,G109&gt;=2)</f>
        <v>1</v>
      </c>
    </row>
    <row r="110" customFormat="false" ht="15" hidden="false" customHeight="false" outlineLevel="0" collapsed="false">
      <c r="A110" s="1" t="s">
        <v>98</v>
      </c>
      <c r="B110" s="1" t="n">
        <f aca="false">VALUE(LEFT(A110,4))</f>
        <v>2023</v>
      </c>
      <c r="C110" s="1" t="n">
        <f aca="false">VALUE(RIGHT(A110,2))</f>
        <v>7</v>
      </c>
      <c r="D110" s="1" t="s">
        <v>43</v>
      </c>
      <c r="E110" s="1" t="n">
        <v>0.029567</v>
      </c>
      <c r="F110" s="1" t="n">
        <v>20.957</v>
      </c>
      <c r="G110" s="1" t="n">
        <v>6</v>
      </c>
      <c r="H110" s="4" t="b">
        <f aca="false">AND(E110&lt;&gt;"",F110&lt;=100,G110&gt;=2)</f>
        <v>1</v>
      </c>
    </row>
    <row r="111" customFormat="false" ht="15" hidden="false" customHeight="false" outlineLevel="0" collapsed="false">
      <c r="A111" s="1" t="s">
        <v>98</v>
      </c>
      <c r="B111" s="1" t="n">
        <f aca="false">VALUE(LEFT(A111,4))</f>
        <v>2023</v>
      </c>
      <c r="C111" s="1" t="n">
        <f aca="false">VALUE(RIGHT(A111,2))</f>
        <v>7</v>
      </c>
      <c r="D111" s="1" t="s">
        <v>44</v>
      </c>
      <c r="E111" s="1" t="n">
        <v>0.053836</v>
      </c>
      <c r="F111" s="1" t="n">
        <v>34.282</v>
      </c>
      <c r="G111" s="1" t="n">
        <v>6</v>
      </c>
      <c r="H111" s="4" t="b">
        <f aca="false">AND(E111&lt;&gt;"",F111&lt;=100,G111&gt;=2)</f>
        <v>1</v>
      </c>
    </row>
    <row r="112" customFormat="false" ht="15" hidden="false" customHeight="false" outlineLevel="0" collapsed="false">
      <c r="A112" s="1" t="s">
        <v>99</v>
      </c>
      <c r="B112" s="1" t="n">
        <f aca="false">VALUE(LEFT(A112,4))</f>
        <v>2023</v>
      </c>
      <c r="C112" s="1" t="n">
        <f aca="false">VALUE(RIGHT(A112,2))</f>
        <v>8</v>
      </c>
      <c r="D112" s="1" t="s">
        <v>43</v>
      </c>
      <c r="E112" s="1" t="n">
        <v>0.023423</v>
      </c>
      <c r="F112" s="1" t="n">
        <v>34.629</v>
      </c>
      <c r="G112" s="1" t="n">
        <v>9</v>
      </c>
      <c r="H112" s="4" t="b">
        <f aca="false">AND(E112&lt;&gt;"",F112&lt;=100,G112&gt;=2)</f>
        <v>1</v>
      </c>
    </row>
    <row r="113" customFormat="false" ht="15" hidden="false" customHeight="false" outlineLevel="0" collapsed="false">
      <c r="A113" s="1" t="s">
        <v>99</v>
      </c>
      <c r="B113" s="1" t="n">
        <f aca="false">VALUE(LEFT(A113,4))</f>
        <v>2023</v>
      </c>
      <c r="C113" s="1" t="n">
        <f aca="false">VALUE(RIGHT(A113,2))</f>
        <v>8</v>
      </c>
      <c r="D113" s="1" t="s">
        <v>44</v>
      </c>
      <c r="E113" s="1" t="n">
        <v>0.021418</v>
      </c>
      <c r="F113" s="1" t="n">
        <v>15.589</v>
      </c>
      <c r="G113" s="1" t="n">
        <v>9</v>
      </c>
      <c r="H113" s="4" t="b">
        <f aca="false">AND(E113&lt;&gt;"",F113&lt;=100,G113&gt;=2)</f>
        <v>1</v>
      </c>
    </row>
    <row r="114" customFormat="false" ht="15" hidden="false" customHeight="false" outlineLevel="0" collapsed="false">
      <c r="A114" s="1" t="s">
        <v>100</v>
      </c>
      <c r="B114" s="1" t="n">
        <f aca="false">VALUE(LEFT(A114,4))</f>
        <v>2023</v>
      </c>
      <c r="C114" s="1" t="n">
        <f aca="false">VALUE(RIGHT(A114,2))</f>
        <v>9</v>
      </c>
      <c r="D114" s="1" t="s">
        <v>43</v>
      </c>
      <c r="E114" s="1" t="n">
        <v>-0.000396</v>
      </c>
      <c r="F114" s="1" t="n">
        <v>22.687</v>
      </c>
      <c r="G114" s="1" t="n">
        <v>9</v>
      </c>
      <c r="H114" s="4" t="b">
        <f aca="false">AND(E114&lt;&gt;"",F114&lt;=100,G114&gt;=2)</f>
        <v>1</v>
      </c>
    </row>
    <row r="115" customFormat="false" ht="15" hidden="false" customHeight="false" outlineLevel="0" collapsed="false">
      <c r="A115" s="1" t="s">
        <v>100</v>
      </c>
      <c r="B115" s="1" t="n">
        <f aca="false">VALUE(LEFT(A115,4))</f>
        <v>2023</v>
      </c>
      <c r="C115" s="1" t="n">
        <f aca="false">VALUE(RIGHT(A115,2))</f>
        <v>9</v>
      </c>
      <c r="D115" s="1" t="s">
        <v>44</v>
      </c>
      <c r="E115" s="1" t="n">
        <v>0.022252</v>
      </c>
      <c r="F115" s="1" t="n">
        <v>85.131</v>
      </c>
      <c r="G115" s="1" t="n">
        <v>9</v>
      </c>
      <c r="H115" s="4" t="b">
        <f aca="false">AND(E115&lt;&gt;"",F115&lt;=100,G115&gt;=2)</f>
        <v>1</v>
      </c>
    </row>
    <row r="116" customFormat="false" ht="15" hidden="false" customHeight="false" outlineLevel="0" collapsed="false">
      <c r="A116" s="1" t="s">
        <v>101</v>
      </c>
      <c r="B116" s="1" t="n">
        <f aca="false">VALUE(LEFT(A116,4))</f>
        <v>2023</v>
      </c>
      <c r="C116" s="1" t="n">
        <f aca="false">VALUE(RIGHT(A116,2))</f>
        <v>10</v>
      </c>
      <c r="D116" s="1" t="s">
        <v>43</v>
      </c>
      <c r="E116" s="1" t="n">
        <v>0.034275</v>
      </c>
      <c r="F116" s="1" t="n">
        <v>46.371</v>
      </c>
      <c r="G116" s="1" t="n">
        <v>5</v>
      </c>
      <c r="H116" s="4" t="b">
        <f aca="false">AND(E116&lt;&gt;"",F116&lt;=100,G116&gt;=2)</f>
        <v>1</v>
      </c>
    </row>
    <row r="117" customFormat="false" ht="15" hidden="false" customHeight="false" outlineLevel="0" collapsed="false">
      <c r="A117" s="1" t="s">
        <v>101</v>
      </c>
      <c r="B117" s="1" t="n">
        <f aca="false">VALUE(LEFT(A117,4))</f>
        <v>2023</v>
      </c>
      <c r="C117" s="1" t="n">
        <f aca="false">VALUE(RIGHT(A117,2))</f>
        <v>10</v>
      </c>
      <c r="D117" s="1" t="s">
        <v>44</v>
      </c>
      <c r="E117" s="1" t="n">
        <v>0.035729</v>
      </c>
      <c r="F117" s="1" t="n">
        <v>52.761</v>
      </c>
      <c r="G117" s="1" t="n">
        <v>5</v>
      </c>
      <c r="H117" s="4" t="b">
        <f aca="false">AND(E117&lt;&gt;"",F117&lt;=100,G117&gt;=2)</f>
        <v>1</v>
      </c>
    </row>
    <row r="118" customFormat="false" ht="15" hidden="false" customHeight="false" outlineLevel="0" collapsed="false">
      <c r="A118" s="1" t="s">
        <v>102</v>
      </c>
      <c r="B118" s="1" t="n">
        <f aca="false">VALUE(LEFT(A118,4))</f>
        <v>2023</v>
      </c>
      <c r="C118" s="1" t="n">
        <f aca="false">VALUE(RIGHT(A118,2))</f>
        <v>11</v>
      </c>
      <c r="D118" s="1" t="s">
        <v>43</v>
      </c>
      <c r="E118" s="1" t="n">
        <v>0.044884</v>
      </c>
      <c r="F118" s="1" t="n">
        <v>28.277</v>
      </c>
      <c r="G118" s="1" t="n">
        <v>3</v>
      </c>
      <c r="H118" s="4" t="b">
        <f aca="false">AND(E118&lt;&gt;"",F118&lt;=100,G118&gt;=2)</f>
        <v>1</v>
      </c>
    </row>
    <row r="119" customFormat="false" ht="15" hidden="false" customHeight="false" outlineLevel="0" collapsed="false">
      <c r="A119" s="1" t="s">
        <v>102</v>
      </c>
      <c r="B119" s="1" t="n">
        <f aca="false">VALUE(LEFT(A119,4))</f>
        <v>2023</v>
      </c>
      <c r="C119" s="1" t="n">
        <f aca="false">VALUE(RIGHT(A119,2))</f>
        <v>11</v>
      </c>
      <c r="D119" s="1" t="s">
        <v>44</v>
      </c>
      <c r="E119" s="1" t="n">
        <v>0.031217</v>
      </c>
      <c r="F119" s="1" t="n">
        <v>16.47</v>
      </c>
      <c r="G119" s="1" t="n">
        <v>3</v>
      </c>
      <c r="H119" s="4" t="b">
        <f aca="false">AND(E119&lt;&gt;"",F119&lt;=100,G119&gt;=2)</f>
        <v>1</v>
      </c>
    </row>
    <row r="120" customFormat="false" ht="15" hidden="false" customHeight="false" outlineLevel="0" collapsed="false">
      <c r="A120" s="1" t="s">
        <v>103</v>
      </c>
      <c r="B120" s="1" t="n">
        <f aca="false">VALUE(LEFT(A120,4))</f>
        <v>2023</v>
      </c>
      <c r="C120" s="1" t="n">
        <f aca="false">VALUE(RIGHT(A120,2))</f>
        <v>12</v>
      </c>
      <c r="D120" s="1" t="s">
        <v>43</v>
      </c>
      <c r="E120" s="1"/>
      <c r="F120" s="1"/>
      <c r="G120" s="1" t="n">
        <v>3</v>
      </c>
      <c r="H120" s="4" t="b">
        <f aca="false">AND(E120&lt;&gt;"",F120&lt;=100,G120&gt;=2)</f>
        <v>0</v>
      </c>
    </row>
    <row r="121" customFormat="false" ht="15" hidden="false" customHeight="false" outlineLevel="0" collapsed="false">
      <c r="A121" s="1" t="s">
        <v>103</v>
      </c>
      <c r="B121" s="1" t="n">
        <f aca="false">VALUE(LEFT(A121,4))</f>
        <v>2023</v>
      </c>
      <c r="C121" s="1" t="n">
        <f aca="false">VALUE(RIGHT(A121,2))</f>
        <v>12</v>
      </c>
      <c r="D121" s="1" t="s">
        <v>44</v>
      </c>
      <c r="E121" s="1" t="n">
        <v>0.02327</v>
      </c>
      <c r="F121" s="1" t="n">
        <v>232.424</v>
      </c>
      <c r="G121" s="1" t="n">
        <v>3</v>
      </c>
      <c r="H121" s="4" t="b">
        <f aca="false">AND(E121&lt;&gt;"",F121&lt;=100,G121&gt;=2)</f>
        <v>0</v>
      </c>
    </row>
    <row r="122" customFormat="false" ht="15" hidden="false" customHeight="false" outlineLevel="0" collapsed="false">
      <c r="A122" s="1" t="s">
        <v>104</v>
      </c>
      <c r="B122" s="1" t="n">
        <f aca="false">VALUE(LEFT(A122,4))</f>
        <v>2024</v>
      </c>
      <c r="C122" s="1" t="n">
        <f aca="false">VALUE(RIGHT(A122,2))</f>
        <v>1</v>
      </c>
      <c r="D122" s="1" t="s">
        <v>43</v>
      </c>
      <c r="E122" s="1" t="n">
        <v>0.015327</v>
      </c>
      <c r="F122" s="1" t="n">
        <v>16.599</v>
      </c>
      <c r="G122" s="1" t="n">
        <v>8</v>
      </c>
      <c r="H122" s="4" t="b">
        <f aca="false">AND(E122&lt;&gt;"",F122&lt;=100,G122&gt;=2)</f>
        <v>1</v>
      </c>
    </row>
    <row r="123" customFormat="false" ht="15" hidden="false" customHeight="false" outlineLevel="0" collapsed="false">
      <c r="A123" s="1" t="s">
        <v>104</v>
      </c>
      <c r="B123" s="1" t="n">
        <f aca="false">VALUE(LEFT(A123,4))</f>
        <v>2024</v>
      </c>
      <c r="C123" s="1" t="n">
        <f aca="false">VALUE(RIGHT(A123,2))</f>
        <v>1</v>
      </c>
      <c r="D123" s="1" t="s">
        <v>44</v>
      </c>
      <c r="E123" s="1" t="n">
        <v>0.01468</v>
      </c>
      <c r="F123" s="1" t="n">
        <v>21.887</v>
      </c>
      <c r="G123" s="1" t="n">
        <v>8</v>
      </c>
      <c r="H123" s="4" t="b">
        <f aca="false">AND(E123&lt;&gt;"",F123&lt;=100,G123&gt;=2)</f>
        <v>1</v>
      </c>
    </row>
    <row r="124" customFormat="false" ht="15" hidden="false" customHeight="false" outlineLevel="0" collapsed="false">
      <c r="A124" s="1" t="s">
        <v>105</v>
      </c>
      <c r="B124" s="1" t="n">
        <f aca="false">VALUE(LEFT(A124,4))</f>
        <v>2024</v>
      </c>
      <c r="C124" s="1" t="n">
        <f aca="false">VALUE(RIGHT(A124,2))</f>
        <v>2</v>
      </c>
      <c r="D124" s="1" t="s">
        <v>43</v>
      </c>
      <c r="E124" s="1" t="n">
        <v>8.5E-005</v>
      </c>
      <c r="F124" s="1" t="n">
        <v>20.975</v>
      </c>
      <c r="G124" s="1" t="n">
        <v>7</v>
      </c>
      <c r="H124" s="4" t="b">
        <f aca="false">AND(E124&lt;&gt;"",F124&lt;=100,G124&gt;=2)</f>
        <v>1</v>
      </c>
    </row>
    <row r="125" customFormat="false" ht="15" hidden="false" customHeight="false" outlineLevel="0" collapsed="false">
      <c r="A125" s="1" t="s">
        <v>105</v>
      </c>
      <c r="B125" s="1" t="n">
        <f aca="false">VALUE(LEFT(A125,4))</f>
        <v>2024</v>
      </c>
      <c r="C125" s="1" t="n">
        <f aca="false">VALUE(RIGHT(A125,2))</f>
        <v>2</v>
      </c>
      <c r="D125" s="1" t="s">
        <v>44</v>
      </c>
      <c r="E125" s="1" t="n">
        <v>-0.002883</v>
      </c>
      <c r="F125" s="1" t="n">
        <v>23.486</v>
      </c>
      <c r="G125" s="1" t="n">
        <v>7</v>
      </c>
      <c r="H125" s="4" t="b">
        <f aca="false">AND(E125&lt;&gt;"",F125&lt;=100,G125&gt;=2)</f>
        <v>1</v>
      </c>
    </row>
    <row r="126" customFormat="false" ht="15" hidden="false" customHeight="false" outlineLevel="0" collapsed="false">
      <c r="A126" s="1" t="s">
        <v>106</v>
      </c>
      <c r="B126" s="1" t="n">
        <f aca="false">VALUE(LEFT(A126,4))</f>
        <v>2024</v>
      </c>
      <c r="C126" s="1" t="n">
        <f aca="false">VALUE(RIGHT(A126,2))</f>
        <v>3</v>
      </c>
      <c r="D126" s="1" t="s">
        <v>43</v>
      </c>
      <c r="E126" s="1" t="n">
        <v>0.022491</v>
      </c>
      <c r="F126" s="1" t="n">
        <v>26.233</v>
      </c>
      <c r="G126" s="1" t="n">
        <v>11</v>
      </c>
      <c r="H126" s="4" t="b">
        <f aca="false">AND(E126&lt;&gt;"",F126&lt;=100,G126&gt;=2)</f>
        <v>1</v>
      </c>
    </row>
    <row r="127" customFormat="false" ht="15" hidden="false" customHeight="false" outlineLevel="0" collapsed="false">
      <c r="A127" s="1" t="s">
        <v>106</v>
      </c>
      <c r="B127" s="1" t="n">
        <f aca="false">VALUE(LEFT(A127,4))</f>
        <v>2024</v>
      </c>
      <c r="C127" s="1" t="n">
        <f aca="false">VALUE(RIGHT(A127,2))</f>
        <v>3</v>
      </c>
      <c r="D127" s="1" t="s">
        <v>44</v>
      </c>
      <c r="E127" s="1" t="n">
        <v>0.007345</v>
      </c>
      <c r="F127" s="1" t="n">
        <v>49.8</v>
      </c>
      <c r="G127" s="1" t="n">
        <v>11</v>
      </c>
      <c r="H127" s="4" t="b">
        <f aca="false">AND(E127&lt;&gt;"",F127&lt;=100,G127&gt;=2)</f>
        <v>1</v>
      </c>
    </row>
    <row r="128" customFormat="false" ht="15" hidden="false" customHeight="false" outlineLevel="0" collapsed="false">
      <c r="A128" s="1" t="s">
        <v>107</v>
      </c>
      <c r="B128" s="1" t="n">
        <f aca="false">VALUE(LEFT(A128,4))</f>
        <v>2024</v>
      </c>
      <c r="C128" s="1" t="n">
        <f aca="false">VALUE(RIGHT(A128,2))</f>
        <v>4</v>
      </c>
      <c r="D128" s="1" t="s">
        <v>43</v>
      </c>
      <c r="E128" s="1" t="n">
        <v>0.02708</v>
      </c>
      <c r="F128" s="1" t="n">
        <v>26.368</v>
      </c>
      <c r="G128" s="1" t="n">
        <v>3</v>
      </c>
      <c r="H128" s="4" t="b">
        <f aca="false">AND(E128&lt;&gt;"",F128&lt;=100,G128&gt;=2)</f>
        <v>1</v>
      </c>
    </row>
    <row r="129" customFormat="false" ht="15" hidden="false" customHeight="false" outlineLevel="0" collapsed="false">
      <c r="A129" s="1" t="s">
        <v>107</v>
      </c>
      <c r="B129" s="1" t="n">
        <f aca="false">VALUE(LEFT(A129,4))</f>
        <v>2024</v>
      </c>
      <c r="C129" s="1" t="n">
        <f aca="false">VALUE(RIGHT(A129,2))</f>
        <v>4</v>
      </c>
      <c r="D129" s="1" t="s">
        <v>44</v>
      </c>
      <c r="E129" s="1" t="n">
        <v>0.028104</v>
      </c>
      <c r="F129" s="1" t="n">
        <v>72.067</v>
      </c>
      <c r="G129" s="1" t="n">
        <v>3</v>
      </c>
      <c r="H129" s="4" t="b">
        <f aca="false">AND(E129&lt;&gt;"",F129&lt;=100,G129&gt;=2)</f>
        <v>1</v>
      </c>
    </row>
    <row r="130" customFormat="false" ht="15" hidden="false" customHeight="false" outlineLevel="0" collapsed="false">
      <c r="A130" s="1" t="s">
        <v>108</v>
      </c>
      <c r="B130" s="1" t="n">
        <f aca="false">VALUE(LEFT(A130,4))</f>
        <v>2024</v>
      </c>
      <c r="C130" s="1" t="n">
        <f aca="false">VALUE(RIGHT(A130,2))</f>
        <v>5</v>
      </c>
      <c r="D130" s="1" t="s">
        <v>43</v>
      </c>
      <c r="E130" s="1" t="n">
        <v>-0.004605</v>
      </c>
      <c r="F130" s="1" t="n">
        <v>10.331</v>
      </c>
      <c r="G130" s="1" t="n">
        <v>4</v>
      </c>
      <c r="H130" s="4" t="b">
        <f aca="false">AND(E130&lt;&gt;"",F130&lt;=100,G130&gt;=2)</f>
        <v>1</v>
      </c>
    </row>
    <row r="131" customFormat="false" ht="15" hidden="false" customHeight="false" outlineLevel="0" collapsed="false">
      <c r="A131" s="1" t="s">
        <v>108</v>
      </c>
      <c r="B131" s="1" t="n">
        <f aca="false">VALUE(LEFT(A131,4))</f>
        <v>2024</v>
      </c>
      <c r="C131" s="1" t="n">
        <f aca="false">VALUE(RIGHT(A131,2))</f>
        <v>5</v>
      </c>
      <c r="D131" s="1" t="s">
        <v>44</v>
      </c>
      <c r="E131" s="1" t="n">
        <v>0.019193</v>
      </c>
      <c r="F131" s="1" t="n">
        <v>12.361</v>
      </c>
      <c r="G131" s="1" t="n">
        <v>4</v>
      </c>
      <c r="H131" s="4" t="b">
        <f aca="false">AND(E131&lt;&gt;"",F131&lt;=100,G131&gt;=2)</f>
        <v>1</v>
      </c>
    </row>
    <row r="132" customFormat="false" ht="15" hidden="false" customHeight="false" outlineLevel="0" collapsed="false">
      <c r="A132" s="1" t="s">
        <v>109</v>
      </c>
      <c r="B132" s="1" t="n">
        <f aca="false">VALUE(LEFT(A132,4))</f>
        <v>2024</v>
      </c>
      <c r="C132" s="1" t="n">
        <f aca="false">VALUE(RIGHT(A132,2))</f>
        <v>6</v>
      </c>
      <c r="D132" s="1" t="s">
        <v>43</v>
      </c>
      <c r="E132" s="1" t="n">
        <v>0.041312</v>
      </c>
      <c r="F132" s="1" t="n">
        <v>7.073</v>
      </c>
      <c r="G132" s="1" t="n">
        <v>13</v>
      </c>
      <c r="H132" s="4" t="b">
        <f aca="false">AND(E132&lt;&gt;"",F132&lt;=100,G132&gt;=2)</f>
        <v>1</v>
      </c>
    </row>
    <row r="133" customFormat="false" ht="15" hidden="false" customHeight="false" outlineLevel="0" collapsed="false">
      <c r="A133" s="1" t="s">
        <v>109</v>
      </c>
      <c r="B133" s="1" t="n">
        <f aca="false">VALUE(LEFT(A133,4))</f>
        <v>2024</v>
      </c>
      <c r="C133" s="1" t="n">
        <f aca="false">VALUE(RIGHT(A133,2))</f>
        <v>6</v>
      </c>
      <c r="D133" s="1" t="s">
        <v>44</v>
      </c>
      <c r="E133" s="1" t="n">
        <v>0.04843</v>
      </c>
      <c r="F133" s="1" t="n">
        <v>5.08</v>
      </c>
      <c r="G133" s="1" t="n">
        <v>13</v>
      </c>
      <c r="H133" s="4" t="b">
        <f aca="false">AND(E133&lt;&gt;"",F133&lt;=100,G133&gt;=2)</f>
        <v>1</v>
      </c>
    </row>
    <row r="134" customFormat="false" ht="15" hidden="false" customHeight="false" outlineLevel="0" collapsed="false">
      <c r="A134" s="1" t="s">
        <v>110</v>
      </c>
      <c r="B134" s="1" t="n">
        <f aca="false">VALUE(LEFT(A134,4))</f>
        <v>2024</v>
      </c>
      <c r="C134" s="1" t="n">
        <f aca="false">VALUE(RIGHT(A134,2))</f>
        <v>7</v>
      </c>
      <c r="D134" s="1" t="s">
        <v>43</v>
      </c>
      <c r="E134" s="1" t="n">
        <v>0.070933</v>
      </c>
      <c r="F134" s="1" t="n">
        <v>45.211</v>
      </c>
      <c r="G134" s="1" t="n">
        <v>5</v>
      </c>
      <c r="H134" s="4" t="b">
        <f aca="false">AND(E134&lt;&gt;"",F134&lt;=100,G134&gt;=2)</f>
        <v>1</v>
      </c>
    </row>
    <row r="135" customFormat="false" ht="15" hidden="false" customHeight="false" outlineLevel="0" collapsed="false">
      <c r="A135" s="1" t="s">
        <v>110</v>
      </c>
      <c r="B135" s="1" t="n">
        <f aca="false">VALUE(LEFT(A135,4))</f>
        <v>2024</v>
      </c>
      <c r="C135" s="1" t="n">
        <f aca="false">VALUE(RIGHT(A135,2))</f>
        <v>7</v>
      </c>
      <c r="D135" s="1" t="s">
        <v>44</v>
      </c>
      <c r="E135" s="1" t="n">
        <v>0.033374</v>
      </c>
      <c r="F135" s="1" t="n">
        <v>11.981</v>
      </c>
      <c r="G135" s="1" t="n">
        <v>5</v>
      </c>
      <c r="H135" s="4" t="b">
        <f aca="false">AND(E135&lt;&gt;"",F135&lt;=100,G135&gt;=2)</f>
        <v>1</v>
      </c>
    </row>
    <row r="136" customFormat="false" ht="15" hidden="false" customHeight="false" outlineLevel="0" collapsed="false">
      <c r="A136" s="1" t="s">
        <v>111</v>
      </c>
      <c r="B136" s="1" t="n">
        <f aca="false">VALUE(LEFT(A136,4))</f>
        <v>2024</v>
      </c>
      <c r="C136" s="1" t="n">
        <f aca="false">VALUE(RIGHT(A136,2))</f>
        <v>8</v>
      </c>
      <c r="D136" s="1" t="s">
        <v>43</v>
      </c>
      <c r="E136" s="1" t="n">
        <v>0.036171</v>
      </c>
      <c r="F136" s="1" t="n">
        <v>11.072</v>
      </c>
      <c r="G136" s="1" t="n">
        <v>3</v>
      </c>
      <c r="H136" s="4" t="b">
        <f aca="false">AND(E136&lt;&gt;"",F136&lt;=100,G136&gt;=2)</f>
        <v>1</v>
      </c>
    </row>
    <row r="137" customFormat="false" ht="15" hidden="false" customHeight="false" outlineLevel="0" collapsed="false">
      <c r="A137" s="1" t="s">
        <v>111</v>
      </c>
      <c r="B137" s="1" t="n">
        <f aca="false">VALUE(LEFT(A137,4))</f>
        <v>2024</v>
      </c>
      <c r="C137" s="1" t="n">
        <f aca="false">VALUE(RIGHT(A137,2))</f>
        <v>8</v>
      </c>
      <c r="D137" s="1" t="s">
        <v>44</v>
      </c>
      <c r="E137" s="1" t="n">
        <v>0.053695</v>
      </c>
      <c r="F137" s="1" t="n">
        <v>21.195</v>
      </c>
      <c r="G137" s="1" t="n">
        <v>3</v>
      </c>
      <c r="H137" s="4" t="b">
        <f aca="false">AND(E137&lt;&gt;"",F137&lt;=100,G137&gt;=2)</f>
        <v>1</v>
      </c>
    </row>
    <row r="138" customFormat="false" ht="15" hidden="false" customHeight="false" outlineLevel="0" collapsed="false">
      <c r="A138" s="1" t="s">
        <v>112</v>
      </c>
      <c r="B138" s="1" t="n">
        <f aca="false">VALUE(LEFT(A138,4))</f>
        <v>2024</v>
      </c>
      <c r="C138" s="1" t="n">
        <f aca="false">VALUE(RIGHT(A138,2))</f>
        <v>9</v>
      </c>
      <c r="D138" s="1" t="s">
        <v>43</v>
      </c>
      <c r="E138" s="1" t="n">
        <v>0.01594</v>
      </c>
      <c r="F138" s="1" t="n">
        <v>50.807</v>
      </c>
      <c r="G138" s="1" t="n">
        <v>7</v>
      </c>
      <c r="H138" s="4" t="b">
        <f aca="false">AND(E138&lt;&gt;"",F138&lt;=100,G138&gt;=2)</f>
        <v>1</v>
      </c>
    </row>
    <row r="139" customFormat="false" ht="15" hidden="false" customHeight="false" outlineLevel="0" collapsed="false">
      <c r="A139" s="1" t="s">
        <v>112</v>
      </c>
      <c r="B139" s="1" t="n">
        <f aca="false">VALUE(LEFT(A139,4))</f>
        <v>2024</v>
      </c>
      <c r="C139" s="1" t="n">
        <f aca="false">VALUE(RIGHT(A139,2))</f>
        <v>9</v>
      </c>
      <c r="D139" s="1" t="s">
        <v>44</v>
      </c>
      <c r="E139" s="1" t="n">
        <v>0.038278</v>
      </c>
      <c r="F139" s="1" t="n">
        <v>6.484</v>
      </c>
      <c r="G139" s="1" t="n">
        <v>7</v>
      </c>
      <c r="H139" s="4" t="b">
        <f aca="false">AND(E139&lt;&gt;"",F139&lt;=100,G139&gt;=2)</f>
        <v>1</v>
      </c>
    </row>
    <row r="140" customFormat="false" ht="15" hidden="false" customHeight="false" outlineLevel="0" collapsed="false">
      <c r="A140" s="1" t="s">
        <v>113</v>
      </c>
      <c r="B140" s="1" t="n">
        <f aca="false">VALUE(LEFT(A140,4))</f>
        <v>2024</v>
      </c>
      <c r="C140" s="1" t="n">
        <f aca="false">VALUE(RIGHT(A140,2))</f>
        <v>10</v>
      </c>
      <c r="D140" s="1" t="s">
        <v>43</v>
      </c>
      <c r="E140" s="1" t="n">
        <v>0.031834</v>
      </c>
      <c r="F140" s="1" t="n">
        <v>35.625</v>
      </c>
      <c r="G140" s="1" t="n">
        <v>8</v>
      </c>
      <c r="H140" s="4" t="b">
        <f aca="false">AND(E140&lt;&gt;"",F140&lt;=100,G140&gt;=2)</f>
        <v>1</v>
      </c>
    </row>
    <row r="141" customFormat="false" ht="15" hidden="false" customHeight="false" outlineLevel="0" collapsed="false">
      <c r="A141" s="1" t="s">
        <v>113</v>
      </c>
      <c r="B141" s="1" t="n">
        <f aca="false">VALUE(LEFT(A141,4))</f>
        <v>2024</v>
      </c>
      <c r="C141" s="1" t="n">
        <f aca="false">VALUE(RIGHT(A141,2))</f>
        <v>10</v>
      </c>
      <c r="D141" s="1" t="s">
        <v>44</v>
      </c>
      <c r="E141" s="1" t="n">
        <v>0.005984</v>
      </c>
      <c r="F141" s="1" t="n">
        <v>10.012</v>
      </c>
      <c r="G141" s="1" t="n">
        <v>8</v>
      </c>
      <c r="H141" s="4" t="b">
        <f aca="false">AND(E141&lt;&gt;"",F141&lt;=100,G141&gt;=2)</f>
        <v>1</v>
      </c>
    </row>
    <row r="142" customFormat="false" ht="15" hidden="false" customHeight="false" outlineLevel="0" collapsed="false">
      <c r="A142" s="1" t="s">
        <v>114</v>
      </c>
      <c r="B142" s="1" t="n">
        <f aca="false">VALUE(LEFT(A142,4))</f>
        <v>2024</v>
      </c>
      <c r="C142" s="1" t="n">
        <f aca="false">VALUE(RIGHT(A142,2))</f>
        <v>11</v>
      </c>
      <c r="D142" s="1" t="s">
        <v>43</v>
      </c>
      <c r="E142" s="1" t="n">
        <v>0.022006</v>
      </c>
      <c r="F142" s="1" t="n">
        <v>38.966</v>
      </c>
      <c r="G142" s="1" t="n">
        <v>2</v>
      </c>
      <c r="H142" s="4" t="b">
        <f aca="false">AND(E142&lt;&gt;"",F142&lt;=100,G142&gt;=2)</f>
        <v>1</v>
      </c>
    </row>
    <row r="143" customFormat="false" ht="15" hidden="false" customHeight="false" outlineLevel="0" collapsed="false">
      <c r="A143" s="1" t="s">
        <v>114</v>
      </c>
      <c r="B143" s="1" t="n">
        <f aca="false">VALUE(LEFT(A143,4))</f>
        <v>2024</v>
      </c>
      <c r="C143" s="1" t="n">
        <f aca="false">VALUE(RIGHT(A143,2))</f>
        <v>11</v>
      </c>
      <c r="D143" s="1" t="s">
        <v>44</v>
      </c>
      <c r="E143" s="1" t="n">
        <v>0.049462</v>
      </c>
      <c r="F143" s="1" t="n">
        <v>28.215</v>
      </c>
      <c r="G143" s="1" t="n">
        <v>2</v>
      </c>
      <c r="H143" s="4" t="b">
        <f aca="false">AND(E143&lt;&gt;"",F143&lt;=100,G143&gt;=2)</f>
        <v>1</v>
      </c>
    </row>
    <row r="144" customFormat="false" ht="15" hidden="false" customHeight="false" outlineLevel="0" collapsed="false">
      <c r="A144" s="1" t="s">
        <v>115</v>
      </c>
      <c r="B144" s="1" t="n">
        <f aca="false">VALUE(LEFT(A144,4))</f>
        <v>2024</v>
      </c>
      <c r="C144" s="1" t="n">
        <f aca="false">VALUE(RIGHT(A144,2))</f>
        <v>12</v>
      </c>
      <c r="D144" s="1" t="s">
        <v>43</v>
      </c>
      <c r="E144" s="1" t="n">
        <v>0.044614</v>
      </c>
      <c r="F144" s="1" t="n">
        <v>68.433</v>
      </c>
      <c r="G144" s="1" t="n">
        <v>12</v>
      </c>
      <c r="H144" s="4" t="b">
        <f aca="false">AND(E144&lt;&gt;"",F144&lt;=100,G144&gt;=2)</f>
        <v>1</v>
      </c>
    </row>
    <row r="145" customFormat="false" ht="15" hidden="false" customHeight="false" outlineLevel="0" collapsed="false">
      <c r="A145" s="1" t="s">
        <v>115</v>
      </c>
      <c r="B145" s="1" t="n">
        <f aca="false">VALUE(LEFT(A145,4))</f>
        <v>2024</v>
      </c>
      <c r="C145" s="1" t="n">
        <f aca="false">VALUE(RIGHT(A145,2))</f>
        <v>12</v>
      </c>
      <c r="D145" s="1" t="s">
        <v>44</v>
      </c>
      <c r="E145" s="1" t="n">
        <v>0.021749</v>
      </c>
      <c r="F145" s="1" t="n">
        <v>34.995</v>
      </c>
      <c r="G145" s="1" t="n">
        <v>12</v>
      </c>
      <c r="H145" s="4" t="b">
        <f aca="false">AND(E145&lt;&gt;"",F145&lt;=100,G145&gt;=2)</f>
        <v>1</v>
      </c>
    </row>
    <row r="146" customFormat="false" ht="15" hidden="false" customHeight="false" outlineLevel="0" collapsed="false">
      <c r="A146" s="1" t="s">
        <v>116</v>
      </c>
      <c r="B146" s="1" t="n">
        <f aca="false">VALUE(LEFT(A146,4))</f>
        <v>2025</v>
      </c>
      <c r="C146" s="1" t="n">
        <f aca="false">VALUE(RIGHT(A146,2))</f>
        <v>1</v>
      </c>
      <c r="D146" s="1" t="s">
        <v>43</v>
      </c>
      <c r="E146" s="1" t="n">
        <v>0.028094</v>
      </c>
      <c r="F146" s="1" t="n">
        <v>30.688</v>
      </c>
      <c r="G146" s="1" t="n">
        <v>4</v>
      </c>
      <c r="H146" s="4" t="b">
        <f aca="false">AND(E146&lt;&gt;"",F146&lt;=100,G146&gt;=2)</f>
        <v>1</v>
      </c>
    </row>
    <row r="147" customFormat="false" ht="15" hidden="false" customHeight="false" outlineLevel="0" collapsed="false">
      <c r="A147" s="1" t="s">
        <v>116</v>
      </c>
      <c r="B147" s="1" t="n">
        <f aca="false">VALUE(LEFT(A147,4))</f>
        <v>2025</v>
      </c>
      <c r="C147" s="1" t="n">
        <f aca="false">VALUE(RIGHT(A147,2))</f>
        <v>1</v>
      </c>
      <c r="D147" s="1" t="s">
        <v>44</v>
      </c>
      <c r="E147" s="1" t="n">
        <v>0.038629</v>
      </c>
      <c r="F147" s="1" t="n">
        <v>547.333</v>
      </c>
      <c r="G147" s="1" t="n">
        <v>4</v>
      </c>
      <c r="H147" s="4" t="b">
        <f aca="false">AND(E147&lt;&gt;"",F147&lt;=100,G147&gt;=2)</f>
        <v>0</v>
      </c>
    </row>
    <row r="148" customFormat="false" ht="15" hidden="false" customHeight="false" outlineLevel="0" collapsed="false">
      <c r="A148" s="1" t="s">
        <v>117</v>
      </c>
      <c r="B148" s="1" t="n">
        <f aca="false">VALUE(LEFT(A148,4))</f>
        <v>2025</v>
      </c>
      <c r="C148" s="1" t="n">
        <f aca="false">VALUE(RIGHT(A148,2))</f>
        <v>2</v>
      </c>
      <c r="D148" s="1" t="s">
        <v>43</v>
      </c>
      <c r="E148" s="1"/>
      <c r="F148" s="1"/>
      <c r="G148" s="1" t="n">
        <v>0</v>
      </c>
      <c r="H148" s="4" t="b">
        <f aca="false">AND(E148&lt;&gt;"",F148&lt;=100,G148&gt;=2)</f>
        <v>0</v>
      </c>
    </row>
    <row r="149" customFormat="false" ht="15" hidden="false" customHeight="false" outlineLevel="0" collapsed="false">
      <c r="A149" s="1" t="s">
        <v>117</v>
      </c>
      <c r="B149" s="1" t="n">
        <f aca="false">VALUE(LEFT(A149,4))</f>
        <v>2025</v>
      </c>
      <c r="C149" s="1" t="n">
        <f aca="false">VALUE(RIGHT(A149,2))</f>
        <v>2</v>
      </c>
      <c r="D149" s="1" t="s">
        <v>44</v>
      </c>
      <c r="E149" s="1"/>
      <c r="F149" s="1"/>
      <c r="G149" s="1" t="n">
        <v>0</v>
      </c>
      <c r="H149" s="4" t="b">
        <f aca="false">AND(E149&lt;&gt;"",F149&lt;=100,G149&gt;=2)</f>
        <v>0</v>
      </c>
    </row>
    <row r="150" customFormat="false" ht="15" hidden="false" customHeight="false" outlineLevel="0" collapsed="false">
      <c r="A150" s="1" t="s">
        <v>118</v>
      </c>
      <c r="B150" s="1" t="n">
        <f aca="false">VALUE(LEFT(A150,4))</f>
        <v>2025</v>
      </c>
      <c r="C150" s="1" t="n">
        <f aca="false">VALUE(RIGHT(A150,2))</f>
        <v>3</v>
      </c>
      <c r="D150" s="1" t="s">
        <v>43</v>
      </c>
      <c r="E150" s="1" t="n">
        <v>0.094882</v>
      </c>
      <c r="F150" s="1" t="n">
        <v>114.212</v>
      </c>
      <c r="G150" s="1" t="n">
        <v>7</v>
      </c>
      <c r="H150" s="4" t="b">
        <f aca="false">AND(E150&lt;&gt;"",F150&lt;=100,G150&gt;=2)</f>
        <v>0</v>
      </c>
    </row>
    <row r="151" customFormat="false" ht="15" hidden="false" customHeight="false" outlineLevel="0" collapsed="false">
      <c r="A151" s="1" t="s">
        <v>118</v>
      </c>
      <c r="B151" s="1" t="n">
        <f aca="false">VALUE(LEFT(A151,4))</f>
        <v>2025</v>
      </c>
      <c r="C151" s="1" t="n">
        <f aca="false">VALUE(RIGHT(A151,2))</f>
        <v>3</v>
      </c>
      <c r="D151" s="1" t="s">
        <v>44</v>
      </c>
      <c r="E151" s="1" t="n">
        <v>0.011675</v>
      </c>
      <c r="F151" s="1" t="n">
        <v>28.446</v>
      </c>
      <c r="G151" s="1" t="n">
        <v>7</v>
      </c>
      <c r="H151" s="4" t="b">
        <f aca="false">AND(E151&lt;&gt;"",F151&lt;=100,G151&gt;=2)</f>
        <v>1</v>
      </c>
    </row>
    <row r="152" customFormat="false" ht="15" hidden="false" customHeight="false" outlineLevel="0" collapsed="false">
      <c r="A152" s="1" t="s">
        <v>119</v>
      </c>
      <c r="B152" s="1" t="n">
        <f aca="false">VALUE(LEFT(A152,4))</f>
        <v>2025</v>
      </c>
      <c r="C152" s="1" t="n">
        <f aca="false">VALUE(RIGHT(A152,2))</f>
        <v>4</v>
      </c>
      <c r="D152" s="1" t="s">
        <v>43</v>
      </c>
      <c r="E152" s="1" t="n">
        <v>-0.046558</v>
      </c>
      <c r="F152" s="1" t="n">
        <v>6.618</v>
      </c>
      <c r="G152" s="1" t="n">
        <v>8</v>
      </c>
      <c r="H152" s="4" t="b">
        <f aca="false">AND(E152&lt;&gt;"",F152&lt;=100,G152&gt;=2)</f>
        <v>1</v>
      </c>
    </row>
    <row r="153" customFormat="false" ht="15" hidden="false" customHeight="false" outlineLevel="0" collapsed="false">
      <c r="A153" s="1" t="s">
        <v>119</v>
      </c>
      <c r="B153" s="1" t="n">
        <f aca="false">VALUE(LEFT(A153,4))</f>
        <v>2025</v>
      </c>
      <c r="C153" s="1" t="n">
        <f aca="false">VALUE(RIGHT(A153,2))</f>
        <v>4</v>
      </c>
      <c r="D153" s="1" t="s">
        <v>44</v>
      </c>
      <c r="E153" s="1" t="n">
        <v>0.00754</v>
      </c>
      <c r="F153" s="1" t="n">
        <v>16.175</v>
      </c>
      <c r="G153" s="1" t="n">
        <v>8</v>
      </c>
      <c r="H153" s="4" t="b">
        <f aca="false">AND(E153&lt;&gt;"",F153&lt;=100,G153&gt;=2)</f>
        <v>1</v>
      </c>
    </row>
    <row r="154" customFormat="false" ht="15" hidden="false" customHeight="false" outlineLevel="0" collapsed="false">
      <c r="A154" s="1" t="s">
        <v>120</v>
      </c>
      <c r="B154" s="1" t="n">
        <f aca="false">VALUE(LEFT(A154,4))</f>
        <v>2025</v>
      </c>
      <c r="C154" s="1" t="n">
        <f aca="false">VALUE(RIGHT(A154,2))</f>
        <v>5</v>
      </c>
      <c r="D154" s="1" t="s">
        <v>43</v>
      </c>
      <c r="E154" s="1" t="n">
        <v>-0.067061</v>
      </c>
      <c r="F154" s="1" t="n">
        <v>13.268</v>
      </c>
      <c r="G154" s="1" t="n">
        <v>1</v>
      </c>
      <c r="H154" s="4" t="b">
        <f aca="false">AND(E154&lt;&gt;"",F154&lt;=100,G154&gt;=2)</f>
        <v>0</v>
      </c>
    </row>
    <row r="155" customFormat="false" ht="15" hidden="false" customHeight="false" outlineLevel="0" collapsed="false">
      <c r="A155" s="1" t="s">
        <v>120</v>
      </c>
      <c r="B155" s="1" t="n">
        <f aca="false">VALUE(LEFT(A155,4))</f>
        <v>2025</v>
      </c>
      <c r="C155" s="1" t="n">
        <f aca="false">VALUE(RIGHT(A155,2))</f>
        <v>5</v>
      </c>
      <c r="D155" s="1" t="s">
        <v>44</v>
      </c>
      <c r="E155" s="1" t="n">
        <v>0.07895</v>
      </c>
      <c r="F155" s="1" t="n">
        <v>25.287</v>
      </c>
      <c r="G155" s="1" t="n">
        <v>1</v>
      </c>
      <c r="H155" s="4" t="b">
        <f aca="false">AND(E155&lt;&gt;"",F155&lt;=100,G155&gt;=2)</f>
        <v>0</v>
      </c>
    </row>
    <row r="156" customFormat="false" ht="15" hidden="false" customHeight="false" outlineLevel="0" collapsed="false">
      <c r="A156" s="1" t="s">
        <v>121</v>
      </c>
      <c r="B156" s="1" t="n">
        <f aca="false">VALUE(LEFT(A156,4))</f>
        <v>2025</v>
      </c>
      <c r="C156" s="1" t="n">
        <f aca="false">VALUE(RIGHT(A156,2))</f>
        <v>6</v>
      </c>
      <c r="D156" s="1" t="s">
        <v>43</v>
      </c>
      <c r="E156" s="1" t="n">
        <v>0.062065</v>
      </c>
      <c r="F156" s="1" t="n">
        <v>19.021</v>
      </c>
      <c r="G156" s="1" t="n">
        <v>14</v>
      </c>
      <c r="H156" s="4" t="b">
        <f aca="false">AND(E156&lt;&gt;"",F156&lt;=100,G156&gt;=2)</f>
        <v>1</v>
      </c>
    </row>
    <row r="157" customFormat="false" ht="15" hidden="false" customHeight="false" outlineLevel="0" collapsed="false">
      <c r="A157" s="1" t="s">
        <v>121</v>
      </c>
      <c r="B157" s="1" t="n">
        <f aca="false">VALUE(LEFT(A157,4))</f>
        <v>2025</v>
      </c>
      <c r="C157" s="1" t="n">
        <f aca="false">VALUE(RIGHT(A157,2))</f>
        <v>6</v>
      </c>
      <c r="D157" s="1" t="s">
        <v>44</v>
      </c>
      <c r="E157" s="1" t="n">
        <v>0.038214</v>
      </c>
      <c r="F157" s="1" t="n">
        <v>27.346</v>
      </c>
      <c r="G157" s="1" t="n">
        <v>14</v>
      </c>
      <c r="H157" s="4" t="b">
        <f aca="false">AND(E157&lt;&gt;"",F157&lt;=100,G157&gt;=2)</f>
        <v>1</v>
      </c>
    </row>
    <row r="158" customFormat="false" ht="15" hidden="false" customHeight="false" outlineLevel="0" collapsed="false">
      <c r="A158" s="1" t="s">
        <v>122</v>
      </c>
      <c r="B158" s="1" t="n">
        <f aca="false">VALUE(LEFT(A158,4))</f>
        <v>2025</v>
      </c>
      <c r="C158" s="1" t="n">
        <f aca="false">VALUE(RIGHT(A158,2))</f>
        <v>7</v>
      </c>
      <c r="D158" s="1" t="s">
        <v>43</v>
      </c>
      <c r="E158" s="1" t="n">
        <v>0.019292</v>
      </c>
      <c r="F158" s="1" t="n">
        <v>38.628</v>
      </c>
      <c r="G158" s="1" t="n">
        <v>15</v>
      </c>
      <c r="H158" s="4" t="b">
        <f aca="false">AND(E158&lt;&gt;"",F158&lt;=100,G158&gt;=2)</f>
        <v>1</v>
      </c>
    </row>
    <row r="159" customFormat="false" ht="15" hidden="false" customHeight="false" outlineLevel="0" collapsed="false">
      <c r="A159" s="1" t="s">
        <v>122</v>
      </c>
      <c r="B159" s="1" t="n">
        <f aca="false">VALUE(LEFT(A159,4))</f>
        <v>2025</v>
      </c>
      <c r="C159" s="1" t="n">
        <f aca="false">VALUE(RIGHT(A159,2))</f>
        <v>7</v>
      </c>
      <c r="D159" s="1" t="s">
        <v>44</v>
      </c>
      <c r="E159" s="1" t="n">
        <v>0.0317</v>
      </c>
      <c r="F159" s="1" t="n">
        <v>27.223</v>
      </c>
      <c r="G159" s="1" t="n">
        <v>15</v>
      </c>
      <c r="H159" s="4" t="b">
        <f aca="false">AND(E159&lt;&gt;"",F159&lt;=100,G159&gt;=2)</f>
        <v>1</v>
      </c>
    </row>
    <row r="160" customFormat="false" ht="15" hidden="false" customHeight="false" outlineLevel="0" collapsed="false">
      <c r="A160" s="1" t="s">
        <v>123</v>
      </c>
      <c r="B160" s="1" t="n">
        <f aca="false">VALUE(LEFT(A160,4))</f>
        <v>2025</v>
      </c>
      <c r="C160" s="1" t="n">
        <f aca="false">VALUE(RIGHT(A160,2))</f>
        <v>8</v>
      </c>
      <c r="D160" s="1" t="s">
        <v>43</v>
      </c>
      <c r="E160" s="1" t="n">
        <v>0.02216</v>
      </c>
      <c r="F160" s="1" t="n">
        <v>26.409</v>
      </c>
      <c r="G160" s="1" t="n">
        <v>11</v>
      </c>
      <c r="H160" s="4" t="b">
        <f aca="false">AND(E160&lt;&gt;"",F160&lt;=100,G160&gt;=2)</f>
        <v>1</v>
      </c>
    </row>
    <row r="161" customFormat="false" ht="15" hidden="false" customHeight="false" outlineLevel="0" collapsed="false">
      <c r="A161" s="1" t="s">
        <v>123</v>
      </c>
      <c r="B161" s="1" t="n">
        <f aca="false">VALUE(LEFT(A161,4))</f>
        <v>2025</v>
      </c>
      <c r="C161" s="1" t="n">
        <f aca="false">VALUE(RIGHT(A161,2))</f>
        <v>8</v>
      </c>
      <c r="D161" s="1" t="s">
        <v>44</v>
      </c>
      <c r="E161" s="1" t="n">
        <v>0.016233</v>
      </c>
      <c r="F161" s="1" t="n">
        <v>29.847</v>
      </c>
      <c r="G161" s="1" t="n">
        <v>11</v>
      </c>
      <c r="H161" s="4" t="b">
        <f aca="false">AND(E161&lt;&gt;"",F161&lt;=100,G161&gt;=2)</f>
        <v>1</v>
      </c>
    </row>
    <row r="162" customFormat="false" ht="15" hidden="false" customHeight="false" outlineLevel="0" collapsed="false">
      <c r="A162" s="1" t="s">
        <v>124</v>
      </c>
      <c r="B162" s="1" t="n">
        <f aca="false">VALUE(LEFT(A162,4))</f>
        <v>2025</v>
      </c>
      <c r="C162" s="1" t="n">
        <f aca="false">VALUE(RIGHT(A162,2))</f>
        <v>9</v>
      </c>
      <c r="D162" s="1" t="s">
        <v>43</v>
      </c>
      <c r="E162" s="1" t="n">
        <v>0.037928</v>
      </c>
      <c r="F162" s="1" t="n">
        <v>42.699</v>
      </c>
      <c r="G162" s="1" t="n">
        <v>2</v>
      </c>
      <c r="H162" s="4" t="b">
        <f aca="false">AND(E162&lt;&gt;"",F162&lt;=100,G162&gt;=2)</f>
        <v>1</v>
      </c>
    </row>
    <row r="163" customFormat="false" ht="15" hidden="false" customHeight="false" outlineLevel="0" collapsed="false">
      <c r="A163" s="1" t="s">
        <v>124</v>
      </c>
      <c r="B163" s="1" t="n">
        <f aca="false">VALUE(LEFT(A163,4))</f>
        <v>2025</v>
      </c>
      <c r="C163" s="1" t="n">
        <f aca="false">VALUE(RIGHT(A163,2))</f>
        <v>9</v>
      </c>
      <c r="D163" s="1" t="s">
        <v>44</v>
      </c>
      <c r="E163" s="1" t="n">
        <v>0.02665</v>
      </c>
      <c r="F163" s="1" t="n">
        <v>36.128</v>
      </c>
      <c r="G163" s="1" t="n">
        <v>2</v>
      </c>
      <c r="H163" s="4" t="b">
        <f aca="false">AND(E163&lt;&gt;"",F163&lt;=100,G163&gt;=2)</f>
        <v>1</v>
      </c>
    </row>
    <row r="164" customFormat="false" ht="15" hidden="false" customHeight="false" outlineLevel="0" collapsed="false">
      <c r="A164" s="1" t="s">
        <v>125</v>
      </c>
      <c r="B164" s="1" t="n">
        <f aca="false">VALUE(LEFT(A164,4))</f>
        <v>2025</v>
      </c>
      <c r="C164" s="1" t="n">
        <f aca="false">VALUE(RIGHT(A164,2))</f>
        <v>10</v>
      </c>
      <c r="D164" s="1" t="s">
        <v>43</v>
      </c>
      <c r="E164" s="1" t="n">
        <v>0.036046</v>
      </c>
      <c r="F164" s="1" t="n">
        <v>26.399</v>
      </c>
      <c r="G164" s="1" t="n">
        <v>8</v>
      </c>
      <c r="H164" s="4" t="b">
        <f aca="false">AND(E164&lt;&gt;"",F164&lt;=100,G164&gt;=2)</f>
        <v>1</v>
      </c>
    </row>
    <row r="165" customFormat="false" ht="15" hidden="false" customHeight="false" outlineLevel="0" collapsed="false">
      <c r="A165" s="1" t="s">
        <v>125</v>
      </c>
      <c r="B165" s="1" t="n">
        <f aca="false">VALUE(LEFT(A165,4))</f>
        <v>2025</v>
      </c>
      <c r="C165" s="1" t="n">
        <f aca="false">VALUE(RIGHT(A165,2))</f>
        <v>10</v>
      </c>
      <c r="D165" s="1" t="s">
        <v>44</v>
      </c>
      <c r="E165" s="1" t="n">
        <v>-0.003577</v>
      </c>
      <c r="F165" s="1" t="n">
        <v>10.079</v>
      </c>
      <c r="G165" s="1" t="n">
        <v>8</v>
      </c>
      <c r="H165" s="4" t="b">
        <f aca="false">AND(E165&lt;&gt;"",F165&lt;=100,G165&gt;=2)</f>
        <v>1</v>
      </c>
    </row>
    <row r="166" customFormat="false" ht="15" hidden="false" customHeight="false" outlineLevel="0" collapsed="false">
      <c r="A166" s="1" t="s">
        <v>126</v>
      </c>
      <c r="B166" s="1" t="n">
        <f aca="false">VALUE(LEFT(A166,4))</f>
        <v>2025</v>
      </c>
      <c r="C166" s="1" t="n">
        <f aca="false">VALUE(RIGHT(A166,2))</f>
        <v>11</v>
      </c>
      <c r="D166" s="1" t="s">
        <v>43</v>
      </c>
      <c r="E166" s="1"/>
      <c r="F166" s="1"/>
      <c r="G166" s="1" t="n">
        <v>0</v>
      </c>
      <c r="H166" s="4" t="b">
        <f aca="false">AND(E166&lt;&gt;"",F166&lt;=100,G166&gt;=2)</f>
        <v>0</v>
      </c>
    </row>
    <row r="167" customFormat="false" ht="15" hidden="false" customHeight="false" outlineLevel="0" collapsed="false">
      <c r="A167" s="1" t="s">
        <v>126</v>
      </c>
      <c r="B167" s="1" t="n">
        <f aca="false">VALUE(LEFT(A167,4))</f>
        <v>2025</v>
      </c>
      <c r="C167" s="1" t="n">
        <f aca="false">VALUE(RIGHT(A167,2))</f>
        <v>11</v>
      </c>
      <c r="D167" s="1" t="s">
        <v>44</v>
      </c>
      <c r="E167" s="1"/>
      <c r="F167" s="1"/>
      <c r="G167" s="1" t="n">
        <v>0</v>
      </c>
      <c r="H167" s="4" t="b">
        <f aca="false">AND(E167&lt;&gt;"",F167&lt;=100,G167&gt;=2)</f>
        <v>0</v>
      </c>
    </row>
    <row r="168" customFormat="false" ht="15" hidden="false" customHeight="false" outlineLevel="0" collapsed="false">
      <c r="A168" s="1" t="s">
        <v>127</v>
      </c>
      <c r="B168" s="1" t="n">
        <f aca="false">VALUE(LEFT(A168,4))</f>
        <v>2025</v>
      </c>
      <c r="C168" s="1" t="n">
        <f aca="false">VALUE(RIGHT(A168,2))</f>
        <v>12</v>
      </c>
      <c r="D168" s="1" t="s">
        <v>43</v>
      </c>
      <c r="E168" s="1" t="n">
        <v>0.031291</v>
      </c>
      <c r="F168" s="1" t="n">
        <v>16.863</v>
      </c>
      <c r="G168" s="1" t="n">
        <v>9</v>
      </c>
      <c r="H168" s="4" t="b">
        <f aca="false">AND(E168&lt;&gt;"",F168&lt;=100,G168&gt;=2)</f>
        <v>1</v>
      </c>
    </row>
    <row r="169" customFormat="false" ht="15" hidden="false" customHeight="false" outlineLevel="0" collapsed="false">
      <c r="A169" s="1" t="s">
        <v>127</v>
      </c>
      <c r="B169" s="1" t="n">
        <f aca="false">VALUE(LEFT(A169,4))</f>
        <v>2025</v>
      </c>
      <c r="C169" s="1" t="n">
        <f aca="false">VALUE(RIGHT(A169,2))</f>
        <v>12</v>
      </c>
      <c r="D169" s="1" t="s">
        <v>44</v>
      </c>
      <c r="E169" s="1" t="n">
        <v>0.060862</v>
      </c>
      <c r="F169" s="1" t="n">
        <v>9.037</v>
      </c>
      <c r="G169" s="1" t="n">
        <v>9</v>
      </c>
      <c r="H169" s="4" t="b">
        <f aca="false">AND(E169&lt;&gt;"",F169&lt;=100,G169&gt;=2)</f>
        <v>1</v>
      </c>
    </row>
    <row r="170" customFormat="false" ht="15" hidden="false" customHeight="false" outlineLevel="0" collapsed="false">
      <c r="A170" s="1" t="s">
        <v>128</v>
      </c>
      <c r="B170" s="1" t="n">
        <f aca="false">VALUE(LEFT(A170,4))</f>
        <v>2026</v>
      </c>
      <c r="C170" s="1" t="n">
        <f aca="false">VALUE(RIGHT(A170,2))</f>
        <v>1</v>
      </c>
      <c r="D170" s="1" t="s">
        <v>43</v>
      </c>
      <c r="E170" s="1" t="n">
        <v>0.024336</v>
      </c>
      <c r="F170" s="1" t="n">
        <v>22.673</v>
      </c>
      <c r="G170" s="1" t="n">
        <v>7</v>
      </c>
      <c r="H170" s="4" t="b">
        <f aca="false">AND(E170&lt;&gt;"",F170&lt;=100,G170&gt;=2)</f>
        <v>1</v>
      </c>
    </row>
    <row r="171" customFormat="false" ht="15" hidden="false" customHeight="false" outlineLevel="0" collapsed="false">
      <c r="A171" s="1" t="s">
        <v>128</v>
      </c>
      <c r="B171" s="1" t="n">
        <f aca="false">VALUE(LEFT(A171,4))</f>
        <v>2026</v>
      </c>
      <c r="C171" s="1" t="n">
        <f aca="false">VALUE(RIGHT(A171,2))</f>
        <v>1</v>
      </c>
      <c r="D171" s="1" t="s">
        <v>44</v>
      </c>
      <c r="E171" s="1" t="n">
        <v>0.023516</v>
      </c>
      <c r="F171" s="1" t="n">
        <v>16.968</v>
      </c>
      <c r="G171" s="1" t="n">
        <v>7</v>
      </c>
      <c r="H171" s="4" t="b">
        <f aca="false">AND(E171&lt;&gt;"",F171&lt;=100,G171&gt;=2)</f>
        <v>1</v>
      </c>
    </row>
    <row r="172" customFormat="false" ht="15" hidden="false" customHeight="false" outlineLevel="0" collapsed="false">
      <c r="A172" s="1" t="s">
        <v>129</v>
      </c>
      <c r="B172" s="1" t="n">
        <f aca="false">VALUE(LEFT(A172,4))</f>
        <v>2026</v>
      </c>
      <c r="C172" s="1" t="n">
        <f aca="false">VALUE(RIGHT(A172,2))</f>
        <v>2</v>
      </c>
      <c r="D172" s="1" t="s">
        <v>43</v>
      </c>
      <c r="E172" s="1"/>
      <c r="F172" s="1"/>
      <c r="G172" s="1" t="n">
        <v>6</v>
      </c>
      <c r="H172" s="4" t="b">
        <f aca="false">AND(E172&lt;&gt;"",F172&lt;=100,G172&gt;=2)</f>
        <v>0</v>
      </c>
    </row>
    <row r="173" customFormat="false" ht="15" hidden="false" customHeight="false" outlineLevel="0" collapsed="false">
      <c r="A173" s="1" t="s">
        <v>129</v>
      </c>
      <c r="B173" s="1" t="n">
        <f aca="false">VALUE(LEFT(A173,4))</f>
        <v>2026</v>
      </c>
      <c r="C173" s="1" t="n">
        <f aca="false">VALUE(RIGHT(A173,2))</f>
        <v>2</v>
      </c>
      <c r="D173" s="1" t="s">
        <v>44</v>
      </c>
      <c r="E173" s="1" t="n">
        <v>-0.037885</v>
      </c>
      <c r="F173" s="1" t="n">
        <v>8.582</v>
      </c>
      <c r="G173" s="1" t="n">
        <v>6</v>
      </c>
      <c r="H173" s="4" t="b">
        <f aca="false">AND(E173&lt;&gt;"",F173&lt;=100,G173&gt;=2)</f>
        <v>1</v>
      </c>
    </row>
    <row r="174" customFormat="false" ht="15" hidden="false" customHeight="false" outlineLevel="0" collapsed="false">
      <c r="A174" s="1" t="s">
        <v>130</v>
      </c>
      <c r="B174" s="1" t="n">
        <f aca="false">VALUE(LEFT(A174,4))</f>
        <v>2026</v>
      </c>
      <c r="C174" s="1" t="n">
        <f aca="false">VALUE(RIGHT(A174,2))</f>
        <v>3</v>
      </c>
      <c r="D174" s="1" t="s">
        <v>43</v>
      </c>
      <c r="E174" s="1" t="n">
        <v>0.028334</v>
      </c>
      <c r="F174" s="1" t="n">
        <v>30.21</v>
      </c>
      <c r="G174" s="1" t="n">
        <v>10</v>
      </c>
      <c r="H174" s="4" t="b">
        <f aca="false">AND(E174&lt;&gt;"",F174&lt;=100,G174&gt;=2)</f>
        <v>1</v>
      </c>
    </row>
    <row r="175" customFormat="false" ht="15" hidden="false" customHeight="false" outlineLevel="0" collapsed="false">
      <c r="A175" s="1" t="s">
        <v>130</v>
      </c>
      <c r="B175" s="1" t="n">
        <f aca="false">VALUE(LEFT(A175,4))</f>
        <v>2026</v>
      </c>
      <c r="C175" s="1" t="n">
        <f aca="false">VALUE(RIGHT(A175,2))</f>
        <v>3</v>
      </c>
      <c r="D175" s="1" t="s">
        <v>44</v>
      </c>
      <c r="E175" s="1" t="n">
        <v>0.006883</v>
      </c>
      <c r="F175" s="1" t="n">
        <v>18.668</v>
      </c>
      <c r="G175" s="1" t="n">
        <v>10</v>
      </c>
      <c r="H175" s="4" t="b">
        <f aca="false">AND(E175&lt;&gt;"",F175&lt;=100,G175&gt;=2)</f>
        <v>1</v>
      </c>
    </row>
    <row r="176" customFormat="false" ht="15" hidden="false" customHeight="false" outlineLevel="0" collapsed="false">
      <c r="A176" s="1" t="s">
        <v>131</v>
      </c>
      <c r="B176" s="1" t="n">
        <f aca="false">VALUE(LEFT(A176,4))</f>
        <v>2026</v>
      </c>
      <c r="C176" s="1" t="n">
        <f aca="false">VALUE(RIGHT(A176,2))</f>
        <v>4</v>
      </c>
      <c r="D176" s="1" t="s">
        <v>43</v>
      </c>
      <c r="E176" s="1" t="n">
        <v>-0.00394</v>
      </c>
      <c r="F176" s="1" t="n">
        <v>23.014</v>
      </c>
      <c r="G176" s="1" t="n">
        <v>9</v>
      </c>
      <c r="H176" s="4" t="b">
        <f aca="false">AND(E176&lt;&gt;"",F176&lt;=100,G176&gt;=2)</f>
        <v>1</v>
      </c>
    </row>
    <row r="177" customFormat="false" ht="15" hidden="false" customHeight="false" outlineLevel="0" collapsed="false">
      <c r="A177" s="1" t="s">
        <v>131</v>
      </c>
      <c r="B177" s="1" t="n">
        <f aca="false">VALUE(LEFT(A177,4))</f>
        <v>2026</v>
      </c>
      <c r="C177" s="1" t="n">
        <f aca="false">VALUE(RIGHT(A177,2))</f>
        <v>4</v>
      </c>
      <c r="D177" s="1" t="s">
        <v>44</v>
      </c>
      <c r="E177" s="1" t="n">
        <v>0.034532</v>
      </c>
      <c r="F177" s="1" t="n">
        <v>26.33</v>
      </c>
      <c r="G177" s="1" t="n">
        <v>9</v>
      </c>
      <c r="H177" s="4" t="b">
        <f aca="false">AND(E177&lt;&gt;"",F177&lt;=100,G177&gt;=2)</f>
        <v>1</v>
      </c>
    </row>
    <row r="178" customFormat="false" ht="15" hidden="false" customHeight="false" outlineLevel="0" collapsed="false">
      <c r="A178" s="1" t="s">
        <v>132</v>
      </c>
      <c r="B178" s="1" t="n">
        <f aca="false">VALUE(LEFT(A178,4))</f>
        <v>2026</v>
      </c>
      <c r="C178" s="1" t="n">
        <f aca="false">VALUE(RIGHT(A178,2))</f>
        <v>5</v>
      </c>
      <c r="D178" s="1" t="s">
        <v>43</v>
      </c>
      <c r="E178" s="1" t="n">
        <v>0.034574</v>
      </c>
      <c r="F178" s="1" t="n">
        <v>30.088</v>
      </c>
      <c r="G178" s="1" t="n">
        <v>15</v>
      </c>
      <c r="H178" s="4" t="b">
        <f aca="false">AND(E178&lt;&gt;"",F178&lt;=100,G178&gt;=2)</f>
        <v>1</v>
      </c>
    </row>
    <row r="179" customFormat="false" ht="15" hidden="false" customHeight="false" outlineLevel="0" collapsed="false">
      <c r="A179" s="1" t="s">
        <v>132</v>
      </c>
      <c r="B179" s="1" t="n">
        <f aca="false">VALUE(LEFT(A179,4))</f>
        <v>2026</v>
      </c>
      <c r="C179" s="1" t="n">
        <f aca="false">VALUE(RIGHT(A179,2))</f>
        <v>5</v>
      </c>
      <c r="D179" s="1" t="s">
        <v>44</v>
      </c>
      <c r="E179" s="1" t="n">
        <v>0.020377</v>
      </c>
      <c r="F179" s="1" t="n">
        <v>12.29</v>
      </c>
      <c r="G179" s="1" t="n">
        <v>15</v>
      </c>
      <c r="H179" s="4" t="b">
        <f aca="false">AND(E179&lt;&gt;"",F179&lt;=100,G179&gt;=2)</f>
        <v>1</v>
      </c>
    </row>
    <row r="180" customFormat="false" ht="15" hidden="false" customHeight="false" outlineLevel="0" collapsed="false">
      <c r="A180" s="1" t="s">
        <v>133</v>
      </c>
      <c r="B180" s="1" t="n">
        <f aca="false">VALUE(LEFT(A180,4))</f>
        <v>2026</v>
      </c>
      <c r="C180" s="1" t="n">
        <f aca="false">VALUE(RIGHT(A180,2))</f>
        <v>6</v>
      </c>
      <c r="D180" s="1" t="s">
        <v>43</v>
      </c>
      <c r="E180" s="1"/>
      <c r="F180" s="1"/>
      <c r="G180" s="1" t="n">
        <v>0</v>
      </c>
      <c r="H180" s="4" t="b">
        <f aca="false">AND(E180&lt;&gt;"",F180&lt;=100,G180&gt;=2)</f>
        <v>0</v>
      </c>
    </row>
    <row r="181" customFormat="false" ht="15" hidden="false" customHeight="false" outlineLevel="0" collapsed="false">
      <c r="A181" s="1" t="s">
        <v>133</v>
      </c>
      <c r="B181" s="1" t="n">
        <f aca="false">VALUE(LEFT(A181,4))</f>
        <v>2026</v>
      </c>
      <c r="C181" s="1" t="n">
        <f aca="false">VALUE(RIGHT(A181,2))</f>
        <v>6</v>
      </c>
      <c r="D181" s="1" t="s">
        <v>44</v>
      </c>
      <c r="E181" s="1"/>
      <c r="F181" s="1"/>
      <c r="G181" s="1" t="n">
        <v>0</v>
      </c>
      <c r="H181" s="4" t="b">
        <f aca="false">AND(E181&lt;&gt;"",F181&lt;=100,G181&gt;=2)</f>
        <v>0</v>
      </c>
    </row>
    <row r="182" customFormat="false" ht="15" hidden="false" customHeight="false" outlineLevel="0" collapsed="false">
      <c r="A182" s="1" t="s">
        <v>134</v>
      </c>
      <c r="B182" s="1" t="n">
        <f aca="false">VALUE(LEFT(A182,4))</f>
        <v>2026</v>
      </c>
      <c r="C182" s="1" t="n">
        <f aca="false">VALUE(RIGHT(A182,2))</f>
        <v>7</v>
      </c>
      <c r="D182" s="1" t="s">
        <v>43</v>
      </c>
      <c r="E182" s="1" t="n">
        <v>0.00188</v>
      </c>
      <c r="F182" s="1" t="n">
        <v>17.214</v>
      </c>
      <c r="G182" s="1" t="n">
        <v>11</v>
      </c>
      <c r="H182" s="4" t="b">
        <f aca="false">AND(E182&lt;&gt;"",F182&lt;=100,G182&gt;=2)</f>
        <v>1</v>
      </c>
    </row>
    <row r="183" customFormat="false" ht="15" hidden="false" customHeight="false" outlineLevel="0" collapsed="false">
      <c r="A183" s="1" t="s">
        <v>134</v>
      </c>
      <c r="B183" s="1" t="n">
        <f aca="false">VALUE(LEFT(A183,4))</f>
        <v>2026</v>
      </c>
      <c r="C183" s="1" t="n">
        <f aca="false">VALUE(RIGHT(A183,2))</f>
        <v>7</v>
      </c>
      <c r="D183" s="1" t="s">
        <v>44</v>
      </c>
      <c r="E183" s="1" t="n">
        <v>0.006542</v>
      </c>
      <c r="F183" s="1" t="n">
        <v>12.143</v>
      </c>
      <c r="G183" s="1" t="n">
        <v>11</v>
      </c>
      <c r="H183" s="4" t="b">
        <f aca="false">AND(E183&lt;&gt;"",F183&lt;=100,G183&gt;=2)</f>
        <v>1</v>
      </c>
    </row>
    <row r="184" customFormat="false" ht="15" hidden="false" customHeight="false" outlineLevel="0" collapsed="false">
      <c r="A184" s="1" t="s">
        <v>135</v>
      </c>
      <c r="B184" s="1" t="n">
        <f aca="false">VALUE(LEFT(A184,4))</f>
        <v>2026</v>
      </c>
      <c r="C184" s="1" t="n">
        <f aca="false">VALUE(RIGHT(A184,2))</f>
        <v>8</v>
      </c>
      <c r="D184" s="1" t="s">
        <v>43</v>
      </c>
      <c r="E184" s="1" t="n">
        <v>0.017359</v>
      </c>
      <c r="F184" s="1" t="n">
        <v>24.773</v>
      </c>
      <c r="G184" s="1" t="n">
        <v>8</v>
      </c>
      <c r="H184" s="4" t="b">
        <f aca="false">AND(E184&lt;&gt;"",F184&lt;=100,G184&gt;=2)</f>
        <v>1</v>
      </c>
    </row>
    <row r="185" customFormat="false" ht="15" hidden="false" customHeight="false" outlineLevel="0" collapsed="false">
      <c r="A185" s="1" t="s">
        <v>135</v>
      </c>
      <c r="B185" s="1" t="n">
        <f aca="false">VALUE(LEFT(A185,4))</f>
        <v>2026</v>
      </c>
      <c r="C185" s="1" t="n">
        <f aca="false">VALUE(RIGHT(A185,2))</f>
        <v>8</v>
      </c>
      <c r="D185" s="1" t="s">
        <v>44</v>
      </c>
      <c r="E185" s="1" t="n">
        <v>-0.004834</v>
      </c>
      <c r="F185" s="1" t="n">
        <v>16.968</v>
      </c>
      <c r="G185" s="1" t="n">
        <v>8</v>
      </c>
      <c r="H185" s="4" t="b">
        <f aca="false">AND(E185&lt;&gt;"",F185&lt;=100,G185&gt;=2)</f>
        <v>1</v>
      </c>
    </row>
    <row r="186" customFormat="false" ht="15" hidden="false" customHeight="false" outlineLevel="0" collapsed="false">
      <c r="A186" s="1" t="s">
        <v>136</v>
      </c>
      <c r="B186" s="1" t="n">
        <f aca="false">VALUE(LEFT(A186,4))</f>
        <v>2026</v>
      </c>
      <c r="C186" s="1" t="n">
        <f aca="false">VALUE(RIGHT(A186,2))</f>
        <v>9</v>
      </c>
      <c r="D186" s="1" t="s">
        <v>43</v>
      </c>
      <c r="E186" s="1" t="n">
        <v>0.03484</v>
      </c>
      <c r="F186" s="1" t="n">
        <v>31.764</v>
      </c>
      <c r="G186" s="1" t="n">
        <v>8</v>
      </c>
      <c r="H186" s="4" t="b">
        <f aca="false">AND(E186&lt;&gt;"",F186&lt;=100,G186&gt;=2)</f>
        <v>1</v>
      </c>
    </row>
    <row r="187" customFormat="false" ht="15" hidden="false" customHeight="false" outlineLevel="0" collapsed="false">
      <c r="A187" s="1" t="s">
        <v>136</v>
      </c>
      <c r="B187" s="1" t="n">
        <f aca="false">VALUE(LEFT(A187,4))</f>
        <v>2026</v>
      </c>
      <c r="C187" s="1" t="n">
        <f aca="false">VALUE(RIGHT(A187,2))</f>
        <v>9</v>
      </c>
      <c r="D187" s="1" t="s">
        <v>44</v>
      </c>
      <c r="E187" s="1" t="n">
        <v>0.048281</v>
      </c>
      <c r="F187" s="1" t="n">
        <v>25.229</v>
      </c>
      <c r="G187" s="1" t="n">
        <v>8</v>
      </c>
      <c r="H187" s="4" t="b">
        <f aca="false">AND(E187&lt;&gt;"",F187&lt;=100,G187&gt;=2)</f>
        <v>1</v>
      </c>
    </row>
    <row r="188" customFormat="false" ht="15" hidden="false" customHeight="false" outlineLevel="0" collapsed="false">
      <c r="A188" s="1" t="s">
        <v>137</v>
      </c>
      <c r="B188" s="1" t="n">
        <f aca="false">VALUE(LEFT(A188,4))</f>
        <v>2026</v>
      </c>
      <c r="C188" s="1" t="n">
        <f aca="false">VALUE(RIGHT(A188,2))</f>
        <v>10</v>
      </c>
      <c r="D188" s="1" t="s">
        <v>43</v>
      </c>
      <c r="E188" s="1"/>
      <c r="F188" s="1"/>
      <c r="G188" s="1" t="n">
        <v>0</v>
      </c>
      <c r="H188" s="4" t="b">
        <f aca="false">AND(E188&lt;&gt;"",F188&lt;=100,G188&gt;=2)</f>
        <v>0</v>
      </c>
    </row>
    <row r="189" customFormat="false" ht="15" hidden="false" customHeight="false" outlineLevel="0" collapsed="false">
      <c r="A189" s="1" t="s">
        <v>137</v>
      </c>
      <c r="B189" s="1" t="n">
        <f aca="false">VALUE(LEFT(A189,4))</f>
        <v>2026</v>
      </c>
      <c r="C189" s="1" t="n">
        <f aca="false">VALUE(RIGHT(A189,2))</f>
        <v>10</v>
      </c>
      <c r="D189" s="1" t="s">
        <v>44</v>
      </c>
      <c r="E189" s="1"/>
      <c r="F189" s="1"/>
      <c r="G189" s="1" t="n">
        <v>0</v>
      </c>
      <c r="H189" s="4" t="b">
        <f aca="false">AND(E189&lt;&gt;"",F189&lt;=100,G189&gt;=2)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2" t="s">
        <v>18</v>
      </c>
      <c r="B1" s="2" t="s">
        <v>39</v>
      </c>
      <c r="C1" s="2" t="s">
        <v>40</v>
      </c>
      <c r="D1" s="2" t="s">
        <v>20</v>
      </c>
      <c r="E1" s="2" t="s">
        <v>22</v>
      </c>
      <c r="F1" s="2" t="s">
        <v>24</v>
      </c>
      <c r="G1" s="2" t="s">
        <v>26</v>
      </c>
      <c r="H1" s="2" t="s">
        <v>28</v>
      </c>
      <c r="J1" s="3" t="s">
        <v>138</v>
      </c>
    </row>
    <row r="2" customFormat="false" ht="15" hidden="false" customHeight="false" outlineLevel="0" collapsed="false">
      <c r="A2" s="1" t="s">
        <v>42</v>
      </c>
      <c r="B2" s="1" t="n">
        <f aca="false">VALUE(LEFT(A2,4))</f>
        <v>2019</v>
      </c>
      <c r="C2" s="1" t="n">
        <f aca="false">VALUE(RIGHT(A2,2))</f>
        <v>1</v>
      </c>
      <c r="D2" s="1" t="s">
        <v>43</v>
      </c>
      <c r="E2" s="1" t="n">
        <v>0.029868</v>
      </c>
      <c r="F2" s="1" t="n">
        <v>45.766</v>
      </c>
      <c r="G2" s="1" t="n">
        <v>7</v>
      </c>
      <c r="H2" s="4" t="b">
        <f aca="false">AND(E2&lt;&gt;"",F2&lt;=100,G2&gt;=2)</f>
        <v>1</v>
      </c>
    </row>
    <row r="3" customFormat="false" ht="15" hidden="false" customHeight="false" outlineLevel="0" collapsed="false">
      <c r="A3" s="1" t="s">
        <v>42</v>
      </c>
      <c r="B3" s="1" t="n">
        <f aca="false">VALUE(LEFT(A3,4))</f>
        <v>2019</v>
      </c>
      <c r="C3" s="1" t="n">
        <f aca="false">VALUE(RIGHT(A3,2))</f>
        <v>1</v>
      </c>
      <c r="D3" s="1" t="s">
        <v>44</v>
      </c>
      <c r="E3" s="1" t="n">
        <v>0.050975</v>
      </c>
      <c r="F3" s="1" t="n">
        <v>29.663</v>
      </c>
      <c r="G3" s="1" t="n">
        <v>7</v>
      </c>
      <c r="H3" s="4" t="b">
        <f aca="false">AND(E3&lt;&gt;"",F3&lt;=100,G3&gt;=2)</f>
        <v>1</v>
      </c>
    </row>
    <row r="4" customFormat="false" ht="15" hidden="false" customHeight="false" outlineLevel="0" collapsed="false">
      <c r="A4" s="1" t="s">
        <v>45</v>
      </c>
      <c r="B4" s="1" t="n">
        <f aca="false">VALUE(LEFT(A4,4))</f>
        <v>2019</v>
      </c>
      <c r="C4" s="1" t="n">
        <f aca="false">VALUE(RIGHT(A4,2))</f>
        <v>2</v>
      </c>
      <c r="D4" s="1" t="s">
        <v>43</v>
      </c>
      <c r="E4" s="1" t="n">
        <v>0.018417</v>
      </c>
      <c r="F4" s="1" t="n">
        <v>44.497</v>
      </c>
      <c r="G4" s="1" t="n">
        <v>15</v>
      </c>
      <c r="H4" s="4" t="b">
        <f aca="false">AND(E4&lt;&gt;"",F4&lt;=100,G4&gt;=2)</f>
        <v>1</v>
      </c>
    </row>
    <row r="5" customFormat="false" ht="15" hidden="false" customHeight="false" outlineLevel="0" collapsed="false">
      <c r="A5" s="1" t="s">
        <v>45</v>
      </c>
      <c r="B5" s="1" t="n">
        <f aca="false">VALUE(LEFT(A5,4))</f>
        <v>2019</v>
      </c>
      <c r="C5" s="1" t="n">
        <f aca="false">VALUE(RIGHT(A5,2))</f>
        <v>2</v>
      </c>
      <c r="D5" s="1" t="s">
        <v>44</v>
      </c>
      <c r="E5" s="1" t="n">
        <v>0.012468</v>
      </c>
      <c r="F5" s="1" t="n">
        <v>31.447</v>
      </c>
      <c r="G5" s="1" t="n">
        <v>15</v>
      </c>
      <c r="H5" s="4" t="b">
        <f aca="false">AND(E5&lt;&gt;"",F5&lt;=100,G5&gt;=2)</f>
        <v>1</v>
      </c>
    </row>
    <row r="6" customFormat="false" ht="15" hidden="false" customHeight="false" outlineLevel="0" collapsed="false">
      <c r="A6" s="1" t="s">
        <v>46</v>
      </c>
      <c r="B6" s="1" t="n">
        <f aca="false">VALUE(LEFT(A6,4))</f>
        <v>2019</v>
      </c>
      <c r="C6" s="1" t="n">
        <f aca="false">VALUE(RIGHT(A6,2))</f>
        <v>3</v>
      </c>
      <c r="D6" s="1" t="s">
        <v>43</v>
      </c>
      <c r="E6" s="1" t="n">
        <v>0.002771</v>
      </c>
      <c r="F6" s="1" t="n">
        <v>19.243</v>
      </c>
      <c r="G6" s="1" t="n">
        <v>18</v>
      </c>
      <c r="H6" s="4" t="b">
        <f aca="false">AND(E6&lt;&gt;"",F6&lt;=100,G6&gt;=2)</f>
        <v>1</v>
      </c>
    </row>
    <row r="7" customFormat="false" ht="15" hidden="false" customHeight="false" outlineLevel="0" collapsed="false">
      <c r="A7" s="1" t="s">
        <v>46</v>
      </c>
      <c r="B7" s="1" t="n">
        <f aca="false">VALUE(LEFT(A7,4))</f>
        <v>2019</v>
      </c>
      <c r="C7" s="1" t="n">
        <f aca="false">VALUE(RIGHT(A7,2))</f>
        <v>3</v>
      </c>
      <c r="D7" s="1" t="s">
        <v>44</v>
      </c>
      <c r="E7" s="1" t="n">
        <v>0.001087</v>
      </c>
      <c r="F7" s="1" t="n">
        <v>19.389</v>
      </c>
      <c r="G7" s="1" t="n">
        <v>18</v>
      </c>
      <c r="H7" s="4" t="b">
        <f aca="false">AND(E7&lt;&gt;"",F7&lt;=100,G7&gt;=2)</f>
        <v>1</v>
      </c>
    </row>
    <row r="8" customFormat="false" ht="15" hidden="false" customHeight="false" outlineLevel="0" collapsed="false">
      <c r="A8" s="1" t="s">
        <v>47</v>
      </c>
      <c r="B8" s="1" t="n">
        <f aca="false">VALUE(LEFT(A8,4))</f>
        <v>2019</v>
      </c>
      <c r="C8" s="1" t="n">
        <f aca="false">VALUE(RIGHT(A8,2))</f>
        <v>4</v>
      </c>
      <c r="D8" s="1" t="s">
        <v>43</v>
      </c>
      <c r="E8" s="1" t="n">
        <v>-0.048524</v>
      </c>
      <c r="F8" s="1" t="n">
        <v>8.67</v>
      </c>
      <c r="G8" s="1" t="n">
        <v>5</v>
      </c>
      <c r="H8" s="4" t="b">
        <f aca="false">AND(E8&lt;&gt;"",F8&lt;=100,G8&gt;=2)</f>
        <v>1</v>
      </c>
    </row>
    <row r="9" customFormat="false" ht="15" hidden="false" customHeight="false" outlineLevel="0" collapsed="false">
      <c r="A9" s="1" t="s">
        <v>47</v>
      </c>
      <c r="B9" s="1" t="n">
        <f aca="false">VALUE(LEFT(A9,4))</f>
        <v>2019</v>
      </c>
      <c r="C9" s="1" t="n">
        <f aca="false">VALUE(RIGHT(A9,2))</f>
        <v>4</v>
      </c>
      <c r="D9" s="1" t="s">
        <v>44</v>
      </c>
      <c r="E9" s="1" t="n">
        <v>0.003645</v>
      </c>
      <c r="F9" s="1" t="n">
        <v>24.559</v>
      </c>
      <c r="G9" s="1" t="n">
        <v>5</v>
      </c>
      <c r="H9" s="4" t="b">
        <f aca="false">AND(E9&lt;&gt;"",F9&lt;=100,G9&gt;=2)</f>
        <v>1</v>
      </c>
    </row>
    <row r="10" customFormat="false" ht="15" hidden="false" customHeight="false" outlineLevel="0" collapsed="false">
      <c r="A10" s="1" t="s">
        <v>48</v>
      </c>
      <c r="B10" s="1" t="n">
        <f aca="false">VALUE(LEFT(A10,4))</f>
        <v>2019</v>
      </c>
      <c r="C10" s="1" t="n">
        <f aca="false">VALUE(RIGHT(A10,2))</f>
        <v>5</v>
      </c>
      <c r="D10" s="1" t="s">
        <v>43</v>
      </c>
      <c r="E10" s="1" t="n">
        <v>0.042784</v>
      </c>
      <c r="F10" s="1" t="n">
        <v>10.748</v>
      </c>
      <c r="G10" s="1" t="n">
        <v>8</v>
      </c>
      <c r="H10" s="4" t="b">
        <f aca="false">AND(E10&lt;&gt;"",F10&lt;=100,G10&gt;=2)</f>
        <v>1</v>
      </c>
    </row>
    <row r="11" customFormat="false" ht="15" hidden="false" customHeight="false" outlineLevel="0" collapsed="false">
      <c r="A11" s="1" t="s">
        <v>48</v>
      </c>
      <c r="B11" s="1" t="n">
        <f aca="false">VALUE(LEFT(A11,4))</f>
        <v>2019</v>
      </c>
      <c r="C11" s="1" t="n">
        <f aca="false">VALUE(RIGHT(A11,2))</f>
        <v>5</v>
      </c>
      <c r="D11" s="1" t="s">
        <v>44</v>
      </c>
      <c r="E11" s="1" t="n">
        <v>0.016632</v>
      </c>
      <c r="F11" s="1" t="n">
        <v>12.058</v>
      </c>
      <c r="G11" s="1" t="n">
        <v>8</v>
      </c>
      <c r="H11" s="4" t="b">
        <f aca="false">AND(E11&lt;&gt;"",F11&lt;=100,G11&gt;=2)</f>
        <v>1</v>
      </c>
    </row>
    <row r="12" customFormat="false" ht="15" hidden="false" customHeight="false" outlineLevel="0" collapsed="false">
      <c r="A12" s="1" t="s">
        <v>49</v>
      </c>
      <c r="B12" s="1" t="n">
        <f aca="false">VALUE(LEFT(A12,4))</f>
        <v>2019</v>
      </c>
      <c r="C12" s="1" t="n">
        <f aca="false">VALUE(RIGHT(A12,2))</f>
        <v>6</v>
      </c>
      <c r="D12" s="1" t="s">
        <v>43</v>
      </c>
      <c r="E12" s="1" t="n">
        <v>0.078472</v>
      </c>
      <c r="F12" s="1" t="n">
        <v>12.931</v>
      </c>
      <c r="G12" s="1" t="n">
        <v>3</v>
      </c>
      <c r="H12" s="4" t="b">
        <f aca="false">AND(E12&lt;&gt;"",F12&lt;=100,G12&gt;=2)</f>
        <v>1</v>
      </c>
    </row>
    <row r="13" customFormat="false" ht="15" hidden="false" customHeight="false" outlineLevel="0" collapsed="false">
      <c r="A13" s="1" t="s">
        <v>49</v>
      </c>
      <c r="B13" s="1" t="n">
        <f aca="false">VALUE(LEFT(A13,4))</f>
        <v>2019</v>
      </c>
      <c r="C13" s="1" t="n">
        <f aca="false">VALUE(RIGHT(A13,2))</f>
        <v>6</v>
      </c>
      <c r="D13" s="1" t="s">
        <v>44</v>
      </c>
      <c r="E13" s="1" t="n">
        <v>0.05851</v>
      </c>
      <c r="F13" s="1" t="n">
        <v>28.158</v>
      </c>
      <c r="G13" s="1" t="n">
        <v>3</v>
      </c>
      <c r="H13" s="4" t="b">
        <f aca="false">AND(E13&lt;&gt;"",F13&lt;=100,G13&gt;=2)</f>
        <v>1</v>
      </c>
    </row>
    <row r="14" customFormat="false" ht="15" hidden="false" customHeight="false" outlineLevel="0" collapsed="false">
      <c r="A14" s="1" t="s">
        <v>50</v>
      </c>
      <c r="B14" s="1" t="n">
        <f aca="false">VALUE(LEFT(A14,4))</f>
        <v>2019</v>
      </c>
      <c r="C14" s="1" t="n">
        <f aca="false">VALUE(RIGHT(A14,2))</f>
        <v>7</v>
      </c>
      <c r="D14" s="1" t="s">
        <v>43</v>
      </c>
      <c r="E14" s="1" t="n">
        <v>-0.004403</v>
      </c>
      <c r="F14" s="1" t="n">
        <v>15.238</v>
      </c>
      <c r="G14" s="1" t="n">
        <v>8</v>
      </c>
      <c r="H14" s="4" t="b">
        <f aca="false">AND(E14&lt;&gt;"",F14&lt;=100,G14&gt;=2)</f>
        <v>1</v>
      </c>
    </row>
    <row r="15" customFormat="false" ht="15" hidden="false" customHeight="false" outlineLevel="0" collapsed="false">
      <c r="A15" s="1" t="s">
        <v>50</v>
      </c>
      <c r="B15" s="1" t="n">
        <f aca="false">VALUE(LEFT(A15,4))</f>
        <v>2019</v>
      </c>
      <c r="C15" s="1" t="n">
        <f aca="false">VALUE(RIGHT(A15,2))</f>
        <v>7</v>
      </c>
      <c r="D15" s="1" t="s">
        <v>44</v>
      </c>
      <c r="E15" s="1" t="n">
        <v>0.014043</v>
      </c>
      <c r="F15" s="1" t="n">
        <v>33.582</v>
      </c>
      <c r="G15" s="1" t="n">
        <v>8</v>
      </c>
      <c r="H15" s="4" t="b">
        <f aca="false">AND(E15&lt;&gt;"",F15&lt;=100,G15&gt;=2)</f>
        <v>1</v>
      </c>
    </row>
    <row r="16" customFormat="false" ht="15" hidden="false" customHeight="false" outlineLevel="0" collapsed="false">
      <c r="A16" s="1" t="s">
        <v>51</v>
      </c>
      <c r="B16" s="1" t="n">
        <f aca="false">VALUE(LEFT(A16,4))</f>
        <v>2019</v>
      </c>
      <c r="C16" s="1" t="n">
        <f aca="false">VALUE(RIGHT(A16,2))</f>
        <v>8</v>
      </c>
      <c r="D16" s="1" t="s">
        <v>43</v>
      </c>
      <c r="E16" s="1" t="n">
        <v>0.029276</v>
      </c>
      <c r="F16" s="1" t="n">
        <v>20.736</v>
      </c>
      <c r="G16" s="1" t="n">
        <v>7</v>
      </c>
      <c r="H16" s="4" t="b">
        <f aca="false">AND(E16&lt;&gt;"",F16&lt;=100,G16&gt;=2)</f>
        <v>1</v>
      </c>
    </row>
    <row r="17" customFormat="false" ht="15" hidden="false" customHeight="false" outlineLevel="0" collapsed="false">
      <c r="A17" s="1" t="s">
        <v>51</v>
      </c>
      <c r="B17" s="1" t="n">
        <f aca="false">VALUE(LEFT(A17,4))</f>
        <v>2019</v>
      </c>
      <c r="C17" s="1" t="n">
        <f aca="false">VALUE(RIGHT(A17,2))</f>
        <v>8</v>
      </c>
      <c r="D17" s="1" t="s">
        <v>44</v>
      </c>
      <c r="E17" s="1" t="n">
        <v>0.018252</v>
      </c>
      <c r="F17" s="1" t="n">
        <v>30.109</v>
      </c>
      <c r="G17" s="1" t="n">
        <v>7</v>
      </c>
      <c r="H17" s="4" t="b">
        <f aca="false">AND(E17&lt;&gt;"",F17&lt;=100,G17&gt;=2)</f>
        <v>1</v>
      </c>
    </row>
    <row r="18" customFormat="false" ht="15" hidden="false" customHeight="false" outlineLevel="0" collapsed="false">
      <c r="A18" s="1" t="s">
        <v>52</v>
      </c>
      <c r="B18" s="1" t="n">
        <f aca="false">VALUE(LEFT(A18,4))</f>
        <v>2019</v>
      </c>
      <c r="C18" s="1" t="n">
        <f aca="false">VALUE(RIGHT(A18,2))</f>
        <v>9</v>
      </c>
      <c r="D18" s="1" t="s">
        <v>43</v>
      </c>
      <c r="E18" s="1"/>
      <c r="F18" s="1"/>
      <c r="G18" s="1" t="n">
        <v>0</v>
      </c>
      <c r="H18" s="4" t="b">
        <f aca="false">AND(E18&lt;&gt;"",F18&lt;=100,G18&gt;=2)</f>
        <v>0</v>
      </c>
    </row>
    <row r="19" customFormat="false" ht="15" hidden="false" customHeight="false" outlineLevel="0" collapsed="false">
      <c r="A19" s="1" t="s">
        <v>52</v>
      </c>
      <c r="B19" s="1" t="n">
        <f aca="false">VALUE(LEFT(A19,4))</f>
        <v>2019</v>
      </c>
      <c r="C19" s="1" t="n">
        <f aca="false">VALUE(RIGHT(A19,2))</f>
        <v>9</v>
      </c>
      <c r="D19" s="1" t="s">
        <v>44</v>
      </c>
      <c r="E19" s="1"/>
      <c r="F19" s="1"/>
      <c r="G19" s="1" t="n">
        <v>0</v>
      </c>
      <c r="H19" s="4" t="b">
        <f aca="false">AND(E19&lt;&gt;"",F19&lt;=100,G19&gt;=2)</f>
        <v>0</v>
      </c>
    </row>
    <row r="20" customFormat="false" ht="15" hidden="false" customHeight="false" outlineLevel="0" collapsed="false">
      <c r="A20" s="1" t="s">
        <v>53</v>
      </c>
      <c r="B20" s="1" t="n">
        <f aca="false">VALUE(LEFT(A20,4))</f>
        <v>2019</v>
      </c>
      <c r="C20" s="1" t="n">
        <f aca="false">VALUE(RIGHT(A20,2))</f>
        <v>10</v>
      </c>
      <c r="D20" s="1" t="s">
        <v>43</v>
      </c>
      <c r="E20" s="1"/>
      <c r="F20" s="1"/>
      <c r="G20" s="1" t="n">
        <v>2</v>
      </c>
      <c r="H20" s="4" t="b">
        <f aca="false">AND(E20&lt;&gt;"",F20&lt;=100,G20&gt;=2)</f>
        <v>0</v>
      </c>
    </row>
    <row r="21" customFormat="false" ht="15" hidden="false" customHeight="false" outlineLevel="0" collapsed="false">
      <c r="A21" s="1" t="s">
        <v>53</v>
      </c>
      <c r="B21" s="1" t="n">
        <f aca="false">VALUE(LEFT(A21,4))</f>
        <v>2019</v>
      </c>
      <c r="C21" s="1" t="n">
        <f aca="false">VALUE(RIGHT(A21,2))</f>
        <v>10</v>
      </c>
      <c r="D21" s="1" t="s">
        <v>44</v>
      </c>
      <c r="E21" s="1" t="n">
        <v>0.021791</v>
      </c>
      <c r="F21" s="1" t="n">
        <v>71.109</v>
      </c>
      <c r="G21" s="1" t="n">
        <v>2</v>
      </c>
      <c r="H21" s="4" t="b">
        <f aca="false">AND(E21&lt;&gt;"",F21&lt;=100,G21&gt;=2)</f>
        <v>1</v>
      </c>
    </row>
    <row r="22" customFormat="false" ht="15" hidden="false" customHeight="false" outlineLevel="0" collapsed="false">
      <c r="A22" s="1" t="s">
        <v>54</v>
      </c>
      <c r="B22" s="1" t="n">
        <f aca="false">VALUE(LEFT(A22,4))</f>
        <v>2019</v>
      </c>
      <c r="C22" s="1" t="n">
        <f aca="false">VALUE(RIGHT(A22,2))</f>
        <v>11</v>
      </c>
      <c r="D22" s="1" t="s">
        <v>43</v>
      </c>
      <c r="E22" s="1"/>
      <c r="F22" s="1"/>
      <c r="G22" s="1" t="n">
        <v>5</v>
      </c>
      <c r="H22" s="4" t="b">
        <f aca="false">AND(E22&lt;&gt;"",F22&lt;=100,G22&gt;=2)</f>
        <v>0</v>
      </c>
    </row>
    <row r="23" customFormat="false" ht="15" hidden="false" customHeight="false" outlineLevel="0" collapsed="false">
      <c r="A23" s="1" t="s">
        <v>54</v>
      </c>
      <c r="B23" s="1" t="n">
        <f aca="false">VALUE(LEFT(A23,4))</f>
        <v>2019</v>
      </c>
      <c r="C23" s="1" t="n">
        <f aca="false">VALUE(RIGHT(A23,2))</f>
        <v>11</v>
      </c>
      <c r="D23" s="1" t="s">
        <v>44</v>
      </c>
      <c r="E23" s="1" t="n">
        <v>0.017054</v>
      </c>
      <c r="F23" s="1" t="n">
        <v>66.624</v>
      </c>
      <c r="G23" s="1" t="n">
        <v>5</v>
      </c>
      <c r="H23" s="4" t="b">
        <f aca="false">AND(E23&lt;&gt;"",F23&lt;=100,G23&gt;=2)</f>
        <v>1</v>
      </c>
    </row>
    <row r="24" customFormat="false" ht="15" hidden="false" customHeight="false" outlineLevel="0" collapsed="false">
      <c r="A24" s="1" t="s">
        <v>55</v>
      </c>
      <c r="B24" s="1" t="n">
        <f aca="false">VALUE(LEFT(A24,4))</f>
        <v>2019</v>
      </c>
      <c r="C24" s="1" t="n">
        <f aca="false">VALUE(RIGHT(A24,2))</f>
        <v>12</v>
      </c>
      <c r="D24" s="1" t="s">
        <v>43</v>
      </c>
      <c r="E24" s="1" t="n">
        <v>-0.001229</v>
      </c>
      <c r="F24" s="1" t="n">
        <v>19.765</v>
      </c>
      <c r="G24" s="1" t="n">
        <v>6</v>
      </c>
      <c r="H24" s="4" t="b">
        <f aca="false">AND(E24&lt;&gt;"",F24&lt;=100,G24&gt;=2)</f>
        <v>1</v>
      </c>
    </row>
    <row r="25" customFormat="false" ht="15" hidden="false" customHeight="false" outlineLevel="0" collapsed="false">
      <c r="A25" s="1" t="s">
        <v>55</v>
      </c>
      <c r="B25" s="1" t="n">
        <f aca="false">VALUE(LEFT(A25,4))</f>
        <v>2019</v>
      </c>
      <c r="C25" s="1" t="n">
        <f aca="false">VALUE(RIGHT(A25,2))</f>
        <v>12</v>
      </c>
      <c r="D25" s="1" t="s">
        <v>44</v>
      </c>
      <c r="E25" s="1" t="n">
        <v>0.006213</v>
      </c>
      <c r="F25" s="1" t="n">
        <v>31.211</v>
      </c>
      <c r="G25" s="1" t="n">
        <v>6</v>
      </c>
      <c r="H25" s="4" t="b">
        <f aca="false">AND(E25&lt;&gt;"",F25&lt;=100,G25&gt;=2)</f>
        <v>1</v>
      </c>
    </row>
    <row r="26" customFormat="false" ht="15" hidden="false" customHeight="false" outlineLevel="0" collapsed="false">
      <c r="A26" s="1" t="s">
        <v>56</v>
      </c>
      <c r="B26" s="1" t="n">
        <f aca="false">VALUE(LEFT(A26,4))</f>
        <v>2020</v>
      </c>
      <c r="C26" s="1" t="n">
        <f aca="false">VALUE(RIGHT(A26,2))</f>
        <v>1</v>
      </c>
      <c r="D26" s="1" t="s">
        <v>43</v>
      </c>
      <c r="E26" s="1" t="n">
        <v>0.048051</v>
      </c>
      <c r="F26" s="1" t="n">
        <v>25.31</v>
      </c>
      <c r="G26" s="1" t="n">
        <v>12</v>
      </c>
      <c r="H26" s="4" t="b">
        <f aca="false">AND(E26&lt;&gt;"",F26&lt;=100,G26&gt;=2)</f>
        <v>1</v>
      </c>
    </row>
    <row r="27" customFormat="false" ht="15" hidden="false" customHeight="false" outlineLevel="0" collapsed="false">
      <c r="A27" s="1" t="s">
        <v>56</v>
      </c>
      <c r="B27" s="1" t="n">
        <f aca="false">VALUE(LEFT(A27,4))</f>
        <v>2020</v>
      </c>
      <c r="C27" s="1" t="n">
        <f aca="false">VALUE(RIGHT(A27,2))</f>
        <v>1</v>
      </c>
      <c r="D27" s="1" t="s">
        <v>44</v>
      </c>
      <c r="E27" s="1" t="n">
        <v>-0.00728</v>
      </c>
      <c r="F27" s="1" t="n">
        <v>39.956</v>
      </c>
      <c r="G27" s="1" t="n">
        <v>12</v>
      </c>
      <c r="H27" s="4" t="b">
        <f aca="false">AND(E27&lt;&gt;"",F27&lt;=100,G27&gt;=2)</f>
        <v>1</v>
      </c>
    </row>
    <row r="28" customFormat="false" ht="15" hidden="false" customHeight="false" outlineLevel="0" collapsed="false">
      <c r="A28" s="1" t="s">
        <v>57</v>
      </c>
      <c r="B28" s="1" t="n">
        <f aca="false">VALUE(LEFT(A28,4))</f>
        <v>2020</v>
      </c>
      <c r="C28" s="1" t="n">
        <f aca="false">VALUE(RIGHT(A28,2))</f>
        <v>2</v>
      </c>
      <c r="D28" s="1" t="s">
        <v>43</v>
      </c>
      <c r="E28" s="1" t="n">
        <v>0.055894</v>
      </c>
      <c r="F28" s="1" t="n">
        <v>17.363</v>
      </c>
      <c r="G28" s="1" t="n">
        <v>12</v>
      </c>
      <c r="H28" s="4" t="b">
        <f aca="false">AND(E28&lt;&gt;"",F28&lt;=100,G28&gt;=2)</f>
        <v>1</v>
      </c>
    </row>
    <row r="29" customFormat="false" ht="15" hidden="false" customHeight="false" outlineLevel="0" collapsed="false">
      <c r="A29" s="1" t="s">
        <v>57</v>
      </c>
      <c r="B29" s="1" t="n">
        <f aca="false">VALUE(LEFT(A29,4))</f>
        <v>2020</v>
      </c>
      <c r="C29" s="1" t="n">
        <f aca="false">VALUE(RIGHT(A29,2))</f>
        <v>2</v>
      </c>
      <c r="D29" s="1" t="s">
        <v>44</v>
      </c>
      <c r="E29" s="1" t="n">
        <v>0.034839</v>
      </c>
      <c r="F29" s="1" t="n">
        <v>25.579</v>
      </c>
      <c r="G29" s="1" t="n">
        <v>12</v>
      </c>
      <c r="H29" s="4" t="b">
        <f aca="false">AND(E29&lt;&gt;"",F29&lt;=100,G29&gt;=2)</f>
        <v>1</v>
      </c>
    </row>
    <row r="30" customFormat="false" ht="15" hidden="false" customHeight="false" outlineLevel="0" collapsed="false">
      <c r="A30" s="1" t="s">
        <v>58</v>
      </c>
      <c r="B30" s="1" t="n">
        <f aca="false">VALUE(LEFT(A30,4))</f>
        <v>2020</v>
      </c>
      <c r="C30" s="1" t="n">
        <f aca="false">VALUE(RIGHT(A30,2))</f>
        <v>3</v>
      </c>
      <c r="D30" s="1" t="s">
        <v>43</v>
      </c>
      <c r="E30" s="1" t="n">
        <v>0.008412</v>
      </c>
      <c r="F30" s="1" t="n">
        <v>18.837</v>
      </c>
      <c r="G30" s="1" t="n">
        <v>9</v>
      </c>
      <c r="H30" s="4" t="b">
        <f aca="false">AND(E30&lt;&gt;"",F30&lt;=100,G30&gt;=2)</f>
        <v>1</v>
      </c>
    </row>
    <row r="31" customFormat="false" ht="15" hidden="false" customHeight="false" outlineLevel="0" collapsed="false">
      <c r="A31" s="1" t="s">
        <v>58</v>
      </c>
      <c r="B31" s="1" t="n">
        <f aca="false">VALUE(LEFT(A31,4))</f>
        <v>2020</v>
      </c>
      <c r="C31" s="1" t="n">
        <f aca="false">VALUE(RIGHT(A31,2))</f>
        <v>3</v>
      </c>
      <c r="D31" s="1" t="s">
        <v>44</v>
      </c>
      <c r="E31" s="1" t="n">
        <v>0.012151</v>
      </c>
      <c r="F31" s="1" t="n">
        <v>36.274</v>
      </c>
      <c r="G31" s="1" t="n">
        <v>9</v>
      </c>
      <c r="H31" s="4" t="b">
        <f aca="false">AND(E31&lt;&gt;"",F31&lt;=100,G31&gt;=2)</f>
        <v>1</v>
      </c>
    </row>
    <row r="32" customFormat="false" ht="15" hidden="false" customHeight="false" outlineLevel="0" collapsed="false">
      <c r="A32" s="1" t="s">
        <v>59</v>
      </c>
      <c r="B32" s="1" t="n">
        <f aca="false">VALUE(LEFT(A32,4))</f>
        <v>2020</v>
      </c>
      <c r="C32" s="1" t="n">
        <f aca="false">VALUE(RIGHT(A32,2))</f>
        <v>4</v>
      </c>
      <c r="D32" s="1" t="s">
        <v>43</v>
      </c>
      <c r="E32" s="1" t="n">
        <v>0.064711</v>
      </c>
      <c r="F32" s="1" t="n">
        <v>31.32</v>
      </c>
      <c r="G32" s="1" t="n">
        <v>8</v>
      </c>
      <c r="H32" s="4" t="b">
        <f aca="false">AND(E32&lt;&gt;"",F32&lt;=100,G32&gt;=2)</f>
        <v>1</v>
      </c>
    </row>
    <row r="33" customFormat="false" ht="15" hidden="false" customHeight="false" outlineLevel="0" collapsed="false">
      <c r="A33" s="1" t="s">
        <v>59</v>
      </c>
      <c r="B33" s="1" t="n">
        <f aca="false">VALUE(LEFT(A33,4))</f>
        <v>2020</v>
      </c>
      <c r="C33" s="1" t="n">
        <f aca="false">VALUE(RIGHT(A33,2))</f>
        <v>4</v>
      </c>
      <c r="D33" s="1" t="s">
        <v>44</v>
      </c>
      <c r="E33" s="1" t="n">
        <v>0.05367</v>
      </c>
      <c r="F33" s="1" t="n">
        <v>16.934</v>
      </c>
      <c r="G33" s="1" t="n">
        <v>8</v>
      </c>
      <c r="H33" s="4" t="b">
        <f aca="false">AND(E33&lt;&gt;"",F33&lt;=100,G33&gt;=2)</f>
        <v>1</v>
      </c>
    </row>
    <row r="34" customFormat="false" ht="15" hidden="false" customHeight="false" outlineLevel="0" collapsed="false">
      <c r="A34" s="1" t="s">
        <v>60</v>
      </c>
      <c r="B34" s="1" t="n">
        <f aca="false">VALUE(LEFT(A34,4))</f>
        <v>2020</v>
      </c>
      <c r="C34" s="1" t="n">
        <f aca="false">VALUE(RIGHT(A34,2))</f>
        <v>5</v>
      </c>
      <c r="D34" s="1" t="s">
        <v>43</v>
      </c>
      <c r="E34" s="1"/>
      <c r="F34" s="1"/>
      <c r="G34" s="1" t="n">
        <v>0</v>
      </c>
      <c r="H34" s="4" t="b">
        <f aca="false">AND(E34&lt;&gt;"",F34&lt;=100,G34&gt;=2)</f>
        <v>0</v>
      </c>
    </row>
    <row r="35" customFormat="false" ht="15" hidden="false" customHeight="false" outlineLevel="0" collapsed="false">
      <c r="A35" s="1" t="s">
        <v>60</v>
      </c>
      <c r="B35" s="1" t="n">
        <f aca="false">VALUE(LEFT(A35,4))</f>
        <v>2020</v>
      </c>
      <c r="C35" s="1" t="n">
        <f aca="false">VALUE(RIGHT(A35,2))</f>
        <v>5</v>
      </c>
      <c r="D35" s="1" t="s">
        <v>44</v>
      </c>
      <c r="E35" s="1"/>
      <c r="F35" s="1"/>
      <c r="G35" s="1" t="n">
        <v>0</v>
      </c>
      <c r="H35" s="4" t="b">
        <f aca="false">AND(E35&lt;&gt;"",F35&lt;=100,G35&gt;=2)</f>
        <v>0</v>
      </c>
    </row>
    <row r="36" customFormat="false" ht="15" hidden="false" customHeight="false" outlineLevel="0" collapsed="false">
      <c r="A36" s="1" t="s">
        <v>61</v>
      </c>
      <c r="B36" s="1" t="n">
        <f aca="false">VALUE(LEFT(A36,4))</f>
        <v>2020</v>
      </c>
      <c r="C36" s="1" t="n">
        <f aca="false">VALUE(RIGHT(A36,2))</f>
        <v>6</v>
      </c>
      <c r="D36" s="1" t="s">
        <v>43</v>
      </c>
      <c r="E36" s="1" t="n">
        <v>-0.008669</v>
      </c>
      <c r="F36" s="1" t="n">
        <v>9.216</v>
      </c>
      <c r="G36" s="1" t="n">
        <v>10</v>
      </c>
      <c r="H36" s="4" t="b">
        <f aca="false">AND(E36&lt;&gt;"",F36&lt;=100,G36&gt;=2)</f>
        <v>1</v>
      </c>
    </row>
    <row r="37" customFormat="false" ht="15" hidden="false" customHeight="false" outlineLevel="0" collapsed="false">
      <c r="A37" s="1" t="s">
        <v>61</v>
      </c>
      <c r="B37" s="1" t="n">
        <f aca="false">VALUE(LEFT(A37,4))</f>
        <v>2020</v>
      </c>
      <c r="C37" s="1" t="n">
        <f aca="false">VALUE(RIGHT(A37,2))</f>
        <v>6</v>
      </c>
      <c r="D37" s="1" t="s">
        <v>44</v>
      </c>
      <c r="E37" s="1" t="n">
        <v>0.01953</v>
      </c>
      <c r="F37" s="1" t="n">
        <v>17.474</v>
      </c>
      <c r="G37" s="1" t="n">
        <v>10</v>
      </c>
      <c r="H37" s="4" t="b">
        <f aca="false">AND(E37&lt;&gt;"",F37&lt;=100,G37&gt;=2)</f>
        <v>1</v>
      </c>
    </row>
    <row r="38" customFormat="false" ht="15" hidden="false" customHeight="false" outlineLevel="0" collapsed="false">
      <c r="A38" s="1" t="s">
        <v>62</v>
      </c>
      <c r="B38" s="1" t="n">
        <f aca="false">VALUE(LEFT(A38,4))</f>
        <v>2020</v>
      </c>
      <c r="C38" s="1" t="n">
        <f aca="false">VALUE(RIGHT(A38,2))</f>
        <v>7</v>
      </c>
      <c r="D38" s="1" t="s">
        <v>43</v>
      </c>
      <c r="E38" s="1" t="n">
        <v>0.004299</v>
      </c>
      <c r="F38" s="1" t="n">
        <v>10.962</v>
      </c>
      <c r="G38" s="1" t="n">
        <v>10</v>
      </c>
      <c r="H38" s="4" t="b">
        <f aca="false">AND(E38&lt;&gt;"",F38&lt;=100,G38&gt;=2)</f>
        <v>1</v>
      </c>
    </row>
    <row r="39" customFormat="false" ht="15" hidden="false" customHeight="false" outlineLevel="0" collapsed="false">
      <c r="A39" s="1" t="s">
        <v>62</v>
      </c>
      <c r="B39" s="1" t="n">
        <f aca="false">VALUE(LEFT(A39,4))</f>
        <v>2020</v>
      </c>
      <c r="C39" s="1" t="n">
        <f aca="false">VALUE(RIGHT(A39,2))</f>
        <v>7</v>
      </c>
      <c r="D39" s="1" t="s">
        <v>44</v>
      </c>
      <c r="E39" s="1" t="n">
        <v>0.016096</v>
      </c>
      <c r="F39" s="1" t="n">
        <v>16.265</v>
      </c>
      <c r="G39" s="1" t="n">
        <v>10</v>
      </c>
      <c r="H39" s="4" t="b">
        <f aca="false">AND(E39&lt;&gt;"",F39&lt;=100,G39&gt;=2)</f>
        <v>1</v>
      </c>
    </row>
    <row r="40" customFormat="false" ht="15" hidden="false" customHeight="false" outlineLevel="0" collapsed="false">
      <c r="A40" s="1" t="s">
        <v>63</v>
      </c>
      <c r="B40" s="1" t="n">
        <f aca="false">VALUE(LEFT(A40,4))</f>
        <v>2020</v>
      </c>
      <c r="C40" s="1" t="n">
        <f aca="false">VALUE(RIGHT(A40,2))</f>
        <v>8</v>
      </c>
      <c r="D40" s="1" t="s">
        <v>43</v>
      </c>
      <c r="E40" s="1" t="n">
        <v>0.018734</v>
      </c>
      <c r="F40" s="1" t="n">
        <v>18.409</v>
      </c>
      <c r="G40" s="1" t="n">
        <v>9</v>
      </c>
      <c r="H40" s="4" t="b">
        <f aca="false">AND(E40&lt;&gt;"",F40&lt;=100,G40&gt;=2)</f>
        <v>1</v>
      </c>
    </row>
    <row r="41" customFormat="false" ht="15" hidden="false" customHeight="false" outlineLevel="0" collapsed="false">
      <c r="A41" s="1" t="s">
        <v>63</v>
      </c>
      <c r="B41" s="1" t="n">
        <f aca="false">VALUE(LEFT(A41,4))</f>
        <v>2020</v>
      </c>
      <c r="C41" s="1" t="n">
        <f aca="false">VALUE(RIGHT(A41,2))</f>
        <v>8</v>
      </c>
      <c r="D41" s="1" t="s">
        <v>44</v>
      </c>
      <c r="E41" s="1" t="n">
        <v>0.011789</v>
      </c>
      <c r="F41" s="1" t="n">
        <v>22.594</v>
      </c>
      <c r="G41" s="1" t="n">
        <v>9</v>
      </c>
      <c r="H41" s="4" t="b">
        <f aca="false">AND(E41&lt;&gt;"",F41&lt;=100,G41&gt;=2)</f>
        <v>1</v>
      </c>
    </row>
    <row r="42" customFormat="false" ht="15" hidden="false" customHeight="false" outlineLevel="0" collapsed="false">
      <c r="A42" s="1" t="s">
        <v>64</v>
      </c>
      <c r="B42" s="1" t="n">
        <f aca="false">VALUE(LEFT(A42,4))</f>
        <v>2020</v>
      </c>
      <c r="C42" s="1" t="n">
        <f aca="false">VALUE(RIGHT(A42,2))</f>
        <v>9</v>
      </c>
      <c r="D42" s="1" t="s">
        <v>43</v>
      </c>
      <c r="E42" s="1" t="n">
        <v>0.000881</v>
      </c>
      <c r="F42" s="1" t="n">
        <v>23.992</v>
      </c>
      <c r="G42" s="1" t="n">
        <v>9</v>
      </c>
      <c r="H42" s="4" t="b">
        <f aca="false">AND(E42&lt;&gt;"",F42&lt;=100,G42&gt;=2)</f>
        <v>1</v>
      </c>
    </row>
    <row r="43" customFormat="false" ht="15" hidden="false" customHeight="false" outlineLevel="0" collapsed="false">
      <c r="A43" s="1" t="s">
        <v>64</v>
      </c>
      <c r="B43" s="1" t="n">
        <f aca="false">VALUE(LEFT(A43,4))</f>
        <v>2020</v>
      </c>
      <c r="C43" s="1" t="n">
        <f aca="false">VALUE(RIGHT(A43,2))</f>
        <v>9</v>
      </c>
      <c r="D43" s="1" t="s">
        <v>44</v>
      </c>
      <c r="E43" s="1" t="n">
        <v>0.041668</v>
      </c>
      <c r="F43" s="1" t="n">
        <v>31.223</v>
      </c>
      <c r="G43" s="1" t="n">
        <v>9</v>
      </c>
      <c r="H43" s="4" t="b">
        <f aca="false">AND(E43&lt;&gt;"",F43&lt;=100,G43&gt;=2)</f>
        <v>1</v>
      </c>
    </row>
    <row r="44" customFormat="false" ht="15" hidden="false" customHeight="false" outlineLevel="0" collapsed="false">
      <c r="A44" s="1" t="s">
        <v>65</v>
      </c>
      <c r="B44" s="1" t="n">
        <f aca="false">VALUE(LEFT(A44,4))</f>
        <v>2020</v>
      </c>
      <c r="C44" s="1" t="n">
        <f aca="false">VALUE(RIGHT(A44,2))</f>
        <v>10</v>
      </c>
      <c r="D44" s="1" t="s">
        <v>43</v>
      </c>
      <c r="E44" s="1"/>
      <c r="F44" s="1"/>
      <c r="G44" s="1" t="n">
        <v>0</v>
      </c>
      <c r="H44" s="4" t="b">
        <f aca="false">AND(E44&lt;&gt;"",F44&lt;=100,G44&gt;=2)</f>
        <v>0</v>
      </c>
    </row>
    <row r="45" customFormat="false" ht="15" hidden="false" customHeight="false" outlineLevel="0" collapsed="false">
      <c r="A45" s="1" t="s">
        <v>65</v>
      </c>
      <c r="B45" s="1" t="n">
        <f aca="false">VALUE(LEFT(A45,4))</f>
        <v>2020</v>
      </c>
      <c r="C45" s="1" t="n">
        <f aca="false">VALUE(RIGHT(A45,2))</f>
        <v>10</v>
      </c>
      <c r="D45" s="1" t="s">
        <v>44</v>
      </c>
      <c r="E45" s="1"/>
      <c r="F45" s="1"/>
      <c r="G45" s="1" t="n">
        <v>0</v>
      </c>
      <c r="H45" s="4" t="b">
        <f aca="false">AND(E45&lt;&gt;"",F45&lt;=100,G45&gt;=2)</f>
        <v>0</v>
      </c>
    </row>
    <row r="46" customFormat="false" ht="15" hidden="false" customHeight="false" outlineLevel="0" collapsed="false">
      <c r="A46" s="1" t="s">
        <v>66</v>
      </c>
      <c r="B46" s="1" t="n">
        <f aca="false">VALUE(LEFT(A46,4))</f>
        <v>2020</v>
      </c>
      <c r="C46" s="1" t="n">
        <f aca="false">VALUE(RIGHT(A46,2))</f>
        <v>11</v>
      </c>
      <c r="D46" s="1" t="s">
        <v>43</v>
      </c>
      <c r="E46" s="1"/>
      <c r="F46" s="1"/>
      <c r="G46" s="1" t="n">
        <v>0</v>
      </c>
      <c r="H46" s="4" t="b">
        <f aca="false">AND(E46&lt;&gt;"",F46&lt;=100,G46&gt;=2)</f>
        <v>0</v>
      </c>
    </row>
    <row r="47" customFormat="false" ht="15" hidden="false" customHeight="false" outlineLevel="0" collapsed="false">
      <c r="A47" s="1" t="s">
        <v>66</v>
      </c>
      <c r="B47" s="1" t="n">
        <f aca="false">VALUE(LEFT(A47,4))</f>
        <v>2020</v>
      </c>
      <c r="C47" s="1" t="n">
        <f aca="false">VALUE(RIGHT(A47,2))</f>
        <v>11</v>
      </c>
      <c r="D47" s="1" t="s">
        <v>44</v>
      </c>
      <c r="E47" s="1"/>
      <c r="F47" s="1"/>
      <c r="G47" s="1" t="n">
        <v>0</v>
      </c>
      <c r="H47" s="4" t="b">
        <f aca="false">AND(E47&lt;&gt;"",F47&lt;=100,G47&gt;=2)</f>
        <v>0</v>
      </c>
    </row>
    <row r="48" customFormat="false" ht="15" hidden="false" customHeight="false" outlineLevel="0" collapsed="false">
      <c r="A48" s="1" t="s">
        <v>67</v>
      </c>
      <c r="B48" s="1" t="n">
        <f aca="false">VALUE(LEFT(A48,4))</f>
        <v>2020</v>
      </c>
      <c r="C48" s="1" t="n">
        <f aca="false">VALUE(RIGHT(A48,2))</f>
        <v>12</v>
      </c>
      <c r="D48" s="1" t="s">
        <v>43</v>
      </c>
      <c r="E48" s="1" t="n">
        <v>0.077905</v>
      </c>
      <c r="F48" s="1" t="n">
        <v>20.344</v>
      </c>
      <c r="G48" s="1" t="n">
        <v>4</v>
      </c>
      <c r="H48" s="4" t="b">
        <f aca="false">AND(E48&lt;&gt;"",F48&lt;=100,G48&gt;=2)</f>
        <v>1</v>
      </c>
    </row>
    <row r="49" customFormat="false" ht="15" hidden="false" customHeight="false" outlineLevel="0" collapsed="false">
      <c r="A49" s="1" t="s">
        <v>67</v>
      </c>
      <c r="B49" s="1" t="n">
        <f aca="false">VALUE(LEFT(A49,4))</f>
        <v>2020</v>
      </c>
      <c r="C49" s="1" t="n">
        <f aca="false">VALUE(RIGHT(A49,2))</f>
        <v>12</v>
      </c>
      <c r="D49" s="1" t="s">
        <v>44</v>
      </c>
      <c r="E49" s="1" t="n">
        <v>0.06233</v>
      </c>
      <c r="F49" s="1" t="n">
        <v>45.513</v>
      </c>
      <c r="G49" s="1" t="n">
        <v>4</v>
      </c>
      <c r="H49" s="4" t="b">
        <f aca="false">AND(E49&lt;&gt;"",F49&lt;=100,G49&gt;=2)</f>
        <v>1</v>
      </c>
    </row>
    <row r="50" customFormat="false" ht="15" hidden="false" customHeight="false" outlineLevel="0" collapsed="false">
      <c r="A50" s="1" t="s">
        <v>68</v>
      </c>
      <c r="B50" s="1" t="n">
        <f aca="false">VALUE(LEFT(A50,4))</f>
        <v>2021</v>
      </c>
      <c r="C50" s="1" t="n">
        <f aca="false">VALUE(RIGHT(A50,2))</f>
        <v>1</v>
      </c>
      <c r="D50" s="1" t="s">
        <v>43</v>
      </c>
      <c r="E50" s="1"/>
      <c r="F50" s="1"/>
      <c r="G50" s="1" t="n">
        <v>0</v>
      </c>
      <c r="H50" s="4" t="b">
        <f aca="false">AND(E50&lt;&gt;"",F50&lt;=100,G50&gt;=2)</f>
        <v>0</v>
      </c>
    </row>
    <row r="51" customFormat="false" ht="15" hidden="false" customHeight="false" outlineLevel="0" collapsed="false">
      <c r="A51" s="1" t="s">
        <v>68</v>
      </c>
      <c r="B51" s="1" t="n">
        <f aca="false">VALUE(LEFT(A51,4))</f>
        <v>2021</v>
      </c>
      <c r="C51" s="1" t="n">
        <f aca="false">VALUE(RIGHT(A51,2))</f>
        <v>1</v>
      </c>
      <c r="D51" s="1" t="s">
        <v>44</v>
      </c>
      <c r="E51" s="1"/>
      <c r="F51" s="1"/>
      <c r="G51" s="1" t="n">
        <v>0</v>
      </c>
      <c r="H51" s="4" t="b">
        <f aca="false">AND(E51&lt;&gt;"",F51&lt;=100,G51&gt;=2)</f>
        <v>0</v>
      </c>
    </row>
    <row r="52" customFormat="false" ht="15" hidden="false" customHeight="false" outlineLevel="0" collapsed="false">
      <c r="A52" s="1" t="s">
        <v>69</v>
      </c>
      <c r="B52" s="1" t="n">
        <f aca="false">VALUE(LEFT(A52,4))</f>
        <v>2021</v>
      </c>
      <c r="C52" s="1" t="n">
        <f aca="false">VALUE(RIGHT(A52,2))</f>
        <v>2</v>
      </c>
      <c r="D52" s="1" t="s">
        <v>43</v>
      </c>
      <c r="E52" s="1" t="n">
        <v>0.01974</v>
      </c>
      <c r="F52" s="1" t="n">
        <v>13.741</v>
      </c>
      <c r="G52" s="1" t="n">
        <v>13</v>
      </c>
      <c r="H52" s="4" t="b">
        <f aca="false">AND(E52&lt;&gt;"",F52&lt;=100,G52&gt;=2)</f>
        <v>1</v>
      </c>
    </row>
    <row r="53" customFormat="false" ht="15" hidden="false" customHeight="false" outlineLevel="0" collapsed="false">
      <c r="A53" s="1" t="s">
        <v>69</v>
      </c>
      <c r="B53" s="1" t="n">
        <f aca="false">VALUE(LEFT(A53,4))</f>
        <v>2021</v>
      </c>
      <c r="C53" s="1" t="n">
        <f aca="false">VALUE(RIGHT(A53,2))</f>
        <v>2</v>
      </c>
      <c r="D53" s="1" t="s">
        <v>44</v>
      </c>
      <c r="E53" s="1" t="n">
        <v>0.024052</v>
      </c>
      <c r="F53" s="1" t="n">
        <v>103.324</v>
      </c>
      <c r="G53" s="1" t="n">
        <v>13</v>
      </c>
      <c r="H53" s="4" t="b">
        <f aca="false">AND(E53&lt;&gt;"",F53&lt;=100,G53&gt;=2)</f>
        <v>0</v>
      </c>
    </row>
    <row r="54" customFormat="false" ht="15" hidden="false" customHeight="false" outlineLevel="0" collapsed="false">
      <c r="A54" s="1" t="s">
        <v>70</v>
      </c>
      <c r="B54" s="1" t="n">
        <f aca="false">VALUE(LEFT(A54,4))</f>
        <v>2021</v>
      </c>
      <c r="C54" s="1" t="n">
        <f aca="false">VALUE(RIGHT(A54,2))</f>
        <v>3</v>
      </c>
      <c r="D54" s="1" t="s">
        <v>43</v>
      </c>
      <c r="E54" s="1" t="n">
        <v>0.014008</v>
      </c>
      <c r="F54" s="1" t="n">
        <v>29.061</v>
      </c>
      <c r="G54" s="1" t="n">
        <v>8</v>
      </c>
      <c r="H54" s="4" t="b">
        <f aca="false">AND(E54&lt;&gt;"",F54&lt;=100,G54&gt;=2)</f>
        <v>1</v>
      </c>
    </row>
    <row r="55" customFormat="false" ht="15" hidden="false" customHeight="false" outlineLevel="0" collapsed="false">
      <c r="A55" s="1" t="s">
        <v>70</v>
      </c>
      <c r="B55" s="1" t="n">
        <f aca="false">VALUE(LEFT(A55,4))</f>
        <v>2021</v>
      </c>
      <c r="C55" s="1" t="n">
        <f aca="false">VALUE(RIGHT(A55,2))</f>
        <v>3</v>
      </c>
      <c r="D55" s="1" t="s">
        <v>44</v>
      </c>
      <c r="E55" s="1" t="n">
        <v>0.010782</v>
      </c>
      <c r="F55" s="1" t="n">
        <v>31.982</v>
      </c>
      <c r="G55" s="1" t="n">
        <v>8</v>
      </c>
      <c r="H55" s="4" t="b">
        <f aca="false">AND(E55&lt;&gt;"",F55&lt;=100,G55&gt;=2)</f>
        <v>1</v>
      </c>
    </row>
    <row r="56" customFormat="false" ht="15" hidden="false" customHeight="false" outlineLevel="0" collapsed="false">
      <c r="A56" s="1" t="s">
        <v>71</v>
      </c>
      <c r="B56" s="1" t="n">
        <f aca="false">VALUE(LEFT(A56,4))</f>
        <v>2021</v>
      </c>
      <c r="C56" s="1" t="n">
        <f aca="false">VALUE(RIGHT(A56,2))</f>
        <v>4</v>
      </c>
      <c r="D56" s="1" t="s">
        <v>43</v>
      </c>
      <c r="E56" s="1" t="n">
        <v>0.030855</v>
      </c>
      <c r="F56" s="1" t="n">
        <v>27.547</v>
      </c>
      <c r="G56" s="1" t="n">
        <v>13</v>
      </c>
      <c r="H56" s="4" t="b">
        <f aca="false">AND(E56&lt;&gt;"",F56&lt;=100,G56&gt;=2)</f>
        <v>1</v>
      </c>
    </row>
    <row r="57" customFormat="false" ht="15" hidden="false" customHeight="false" outlineLevel="0" collapsed="false">
      <c r="A57" s="1" t="s">
        <v>71</v>
      </c>
      <c r="B57" s="1" t="n">
        <f aca="false">VALUE(LEFT(A57,4))</f>
        <v>2021</v>
      </c>
      <c r="C57" s="1" t="n">
        <f aca="false">VALUE(RIGHT(A57,2))</f>
        <v>4</v>
      </c>
      <c r="D57" s="1" t="s">
        <v>44</v>
      </c>
      <c r="E57" s="1" t="n">
        <v>0.017492</v>
      </c>
      <c r="F57" s="1" t="n">
        <v>30.795</v>
      </c>
      <c r="G57" s="1" t="n">
        <v>13</v>
      </c>
      <c r="H57" s="4" t="b">
        <f aca="false">AND(E57&lt;&gt;"",F57&lt;=100,G57&gt;=2)</f>
        <v>1</v>
      </c>
    </row>
    <row r="58" customFormat="false" ht="15" hidden="false" customHeight="false" outlineLevel="0" collapsed="false">
      <c r="A58" s="1" t="s">
        <v>72</v>
      </c>
      <c r="B58" s="1" t="n">
        <f aca="false">VALUE(LEFT(A58,4))</f>
        <v>2021</v>
      </c>
      <c r="C58" s="1" t="n">
        <f aca="false">VALUE(RIGHT(A58,2))</f>
        <v>5</v>
      </c>
      <c r="D58" s="1" t="s">
        <v>43</v>
      </c>
      <c r="E58" s="1" t="n">
        <v>0.025775</v>
      </c>
      <c r="F58" s="1" t="n">
        <v>20.418</v>
      </c>
      <c r="G58" s="1" t="n">
        <v>8</v>
      </c>
      <c r="H58" s="4" t="b">
        <f aca="false">AND(E58&lt;&gt;"",F58&lt;=100,G58&gt;=2)</f>
        <v>1</v>
      </c>
    </row>
    <row r="59" customFormat="false" ht="15" hidden="false" customHeight="false" outlineLevel="0" collapsed="false">
      <c r="A59" s="1" t="s">
        <v>72</v>
      </c>
      <c r="B59" s="1" t="n">
        <f aca="false">VALUE(LEFT(A59,4))</f>
        <v>2021</v>
      </c>
      <c r="C59" s="1" t="n">
        <f aca="false">VALUE(RIGHT(A59,2))</f>
        <v>5</v>
      </c>
      <c r="D59" s="1" t="s">
        <v>44</v>
      </c>
      <c r="E59" s="1" t="n">
        <v>-0.004477</v>
      </c>
      <c r="F59" s="1" t="n">
        <v>94.163</v>
      </c>
      <c r="G59" s="1" t="n">
        <v>8</v>
      </c>
      <c r="H59" s="4" t="b">
        <f aca="false">AND(E59&lt;&gt;"",F59&lt;=100,G59&gt;=2)</f>
        <v>1</v>
      </c>
    </row>
    <row r="60" customFormat="false" ht="15" hidden="false" customHeight="false" outlineLevel="0" collapsed="false">
      <c r="A60" s="1" t="s">
        <v>73</v>
      </c>
      <c r="B60" s="1" t="n">
        <f aca="false">VALUE(LEFT(A60,4))</f>
        <v>2021</v>
      </c>
      <c r="C60" s="1" t="n">
        <f aca="false">VALUE(RIGHT(A60,2))</f>
        <v>6</v>
      </c>
      <c r="D60" s="1" t="s">
        <v>43</v>
      </c>
      <c r="E60" s="1" t="n">
        <v>0.031159</v>
      </c>
      <c r="F60" s="1" t="n">
        <v>13.035</v>
      </c>
      <c r="G60" s="1" t="n">
        <v>10</v>
      </c>
      <c r="H60" s="4" t="b">
        <f aca="false">AND(E60&lt;&gt;"",F60&lt;=100,G60&gt;=2)</f>
        <v>1</v>
      </c>
    </row>
    <row r="61" customFormat="false" ht="15" hidden="false" customHeight="false" outlineLevel="0" collapsed="false">
      <c r="A61" s="1" t="s">
        <v>73</v>
      </c>
      <c r="B61" s="1" t="n">
        <f aca="false">VALUE(LEFT(A61,4))</f>
        <v>2021</v>
      </c>
      <c r="C61" s="1" t="n">
        <f aca="false">VALUE(RIGHT(A61,2))</f>
        <v>6</v>
      </c>
      <c r="D61" s="1" t="s">
        <v>44</v>
      </c>
      <c r="E61" s="1" t="n">
        <v>0.018323</v>
      </c>
      <c r="F61" s="1" t="n">
        <v>140.254</v>
      </c>
      <c r="G61" s="1" t="n">
        <v>10</v>
      </c>
      <c r="H61" s="4" t="b">
        <f aca="false">AND(E61&lt;&gt;"",F61&lt;=100,G61&gt;=2)</f>
        <v>0</v>
      </c>
    </row>
    <row r="62" customFormat="false" ht="15" hidden="false" customHeight="false" outlineLevel="0" collapsed="false">
      <c r="A62" s="1" t="s">
        <v>74</v>
      </c>
      <c r="B62" s="1" t="n">
        <f aca="false">VALUE(LEFT(A62,4))</f>
        <v>2021</v>
      </c>
      <c r="C62" s="1" t="n">
        <f aca="false">VALUE(RIGHT(A62,2))</f>
        <v>7</v>
      </c>
      <c r="D62" s="1" t="s">
        <v>43</v>
      </c>
      <c r="E62" s="1" t="n">
        <v>0.044208</v>
      </c>
      <c r="F62" s="1" t="n">
        <v>23.692</v>
      </c>
      <c r="G62" s="1" t="n">
        <v>7</v>
      </c>
      <c r="H62" s="4" t="b">
        <f aca="false">AND(E62&lt;&gt;"",F62&lt;=100,G62&gt;=2)</f>
        <v>1</v>
      </c>
    </row>
    <row r="63" customFormat="false" ht="15" hidden="false" customHeight="false" outlineLevel="0" collapsed="false">
      <c r="A63" s="1" t="s">
        <v>74</v>
      </c>
      <c r="B63" s="1" t="n">
        <f aca="false">VALUE(LEFT(A63,4))</f>
        <v>2021</v>
      </c>
      <c r="C63" s="1" t="n">
        <f aca="false">VALUE(RIGHT(A63,2))</f>
        <v>7</v>
      </c>
      <c r="D63" s="1" t="s">
        <v>44</v>
      </c>
      <c r="E63" s="1" t="n">
        <v>0.036406</v>
      </c>
      <c r="F63" s="1" t="n">
        <v>32.951</v>
      </c>
      <c r="G63" s="1" t="n">
        <v>7</v>
      </c>
      <c r="H63" s="4" t="b">
        <f aca="false">AND(E63&lt;&gt;"",F63&lt;=100,G63&gt;=2)</f>
        <v>1</v>
      </c>
    </row>
    <row r="64" customFormat="false" ht="15" hidden="false" customHeight="false" outlineLevel="0" collapsed="false">
      <c r="A64" s="1" t="s">
        <v>75</v>
      </c>
      <c r="B64" s="1" t="n">
        <f aca="false">VALUE(LEFT(A64,4))</f>
        <v>2021</v>
      </c>
      <c r="C64" s="1" t="n">
        <f aca="false">VALUE(RIGHT(A64,2))</f>
        <v>8</v>
      </c>
      <c r="D64" s="1" t="s">
        <v>43</v>
      </c>
      <c r="E64" s="1" t="n">
        <v>0.09085</v>
      </c>
      <c r="F64" s="1" t="n">
        <v>31.688</v>
      </c>
      <c r="G64" s="1" t="n">
        <v>6</v>
      </c>
      <c r="H64" s="4" t="b">
        <f aca="false">AND(E64&lt;&gt;"",F64&lt;=100,G64&gt;=2)</f>
        <v>1</v>
      </c>
    </row>
    <row r="65" customFormat="false" ht="15" hidden="false" customHeight="false" outlineLevel="0" collapsed="false">
      <c r="A65" s="1" t="s">
        <v>75</v>
      </c>
      <c r="B65" s="1" t="n">
        <f aca="false">VALUE(LEFT(A65,4))</f>
        <v>2021</v>
      </c>
      <c r="C65" s="1" t="n">
        <f aca="false">VALUE(RIGHT(A65,2))</f>
        <v>8</v>
      </c>
      <c r="D65" s="1" t="s">
        <v>44</v>
      </c>
      <c r="E65" s="1" t="n">
        <v>0.087987</v>
      </c>
      <c r="F65" s="1" t="n">
        <v>17.456</v>
      </c>
      <c r="G65" s="1" t="n">
        <v>6</v>
      </c>
      <c r="H65" s="4" t="b">
        <f aca="false">AND(E65&lt;&gt;"",F65&lt;=100,G65&gt;=2)</f>
        <v>1</v>
      </c>
    </row>
    <row r="66" customFormat="false" ht="15" hidden="false" customHeight="false" outlineLevel="0" collapsed="false">
      <c r="A66" s="1" t="s">
        <v>76</v>
      </c>
      <c r="B66" s="1" t="n">
        <f aca="false">VALUE(LEFT(A66,4))</f>
        <v>2021</v>
      </c>
      <c r="C66" s="1" t="n">
        <f aca="false">VALUE(RIGHT(A66,2))</f>
        <v>9</v>
      </c>
      <c r="D66" s="1" t="s">
        <v>43</v>
      </c>
      <c r="E66" s="1" t="n">
        <v>0.037305</v>
      </c>
      <c r="F66" s="1" t="n">
        <v>20.857</v>
      </c>
      <c r="G66" s="1" t="n">
        <v>5</v>
      </c>
      <c r="H66" s="4" t="b">
        <f aca="false">AND(E66&lt;&gt;"",F66&lt;=100,G66&gt;=2)</f>
        <v>1</v>
      </c>
    </row>
    <row r="67" customFormat="false" ht="15" hidden="false" customHeight="false" outlineLevel="0" collapsed="false">
      <c r="A67" s="1" t="s">
        <v>76</v>
      </c>
      <c r="B67" s="1" t="n">
        <f aca="false">VALUE(LEFT(A67,4))</f>
        <v>2021</v>
      </c>
      <c r="C67" s="1" t="n">
        <f aca="false">VALUE(RIGHT(A67,2))</f>
        <v>9</v>
      </c>
      <c r="D67" s="1" t="s">
        <v>44</v>
      </c>
      <c r="E67" s="1" t="n">
        <v>0.023431</v>
      </c>
      <c r="F67" s="1" t="n">
        <v>74.035</v>
      </c>
      <c r="G67" s="1" t="n">
        <v>5</v>
      </c>
      <c r="H67" s="4" t="b">
        <f aca="false">AND(E67&lt;&gt;"",F67&lt;=100,G67&gt;=2)</f>
        <v>1</v>
      </c>
    </row>
    <row r="68" customFormat="false" ht="15" hidden="false" customHeight="false" outlineLevel="0" collapsed="false">
      <c r="A68" s="1" t="s">
        <v>77</v>
      </c>
      <c r="B68" s="1" t="n">
        <f aca="false">VALUE(LEFT(A68,4))</f>
        <v>2021</v>
      </c>
      <c r="C68" s="1" t="n">
        <f aca="false">VALUE(RIGHT(A68,2))</f>
        <v>10</v>
      </c>
      <c r="D68" s="1" t="s">
        <v>43</v>
      </c>
      <c r="E68" s="1" t="n">
        <v>0.015461</v>
      </c>
      <c r="F68" s="1" t="n">
        <v>24.624</v>
      </c>
      <c r="G68" s="1" t="n">
        <v>13</v>
      </c>
      <c r="H68" s="4" t="b">
        <f aca="false">AND(E68&lt;&gt;"",F68&lt;=100,G68&gt;=2)</f>
        <v>1</v>
      </c>
    </row>
    <row r="69" customFormat="false" ht="15" hidden="false" customHeight="false" outlineLevel="0" collapsed="false">
      <c r="A69" s="1" t="s">
        <v>77</v>
      </c>
      <c r="B69" s="1" t="n">
        <f aca="false">VALUE(LEFT(A69,4))</f>
        <v>2021</v>
      </c>
      <c r="C69" s="1" t="n">
        <f aca="false">VALUE(RIGHT(A69,2))</f>
        <v>10</v>
      </c>
      <c r="D69" s="1" t="s">
        <v>44</v>
      </c>
      <c r="E69" s="1" t="n">
        <v>0.010129</v>
      </c>
      <c r="F69" s="1" t="n">
        <v>50.212</v>
      </c>
      <c r="G69" s="1" t="n">
        <v>13</v>
      </c>
      <c r="H69" s="4" t="b">
        <f aca="false">AND(E69&lt;&gt;"",F69&lt;=100,G69&gt;=2)</f>
        <v>1</v>
      </c>
    </row>
    <row r="70" customFormat="false" ht="15" hidden="false" customHeight="false" outlineLevel="0" collapsed="false">
      <c r="A70" s="1" t="s">
        <v>78</v>
      </c>
      <c r="B70" s="1" t="n">
        <f aca="false">VALUE(LEFT(A70,4))</f>
        <v>2021</v>
      </c>
      <c r="C70" s="1" t="n">
        <f aca="false">VALUE(RIGHT(A70,2))</f>
        <v>11</v>
      </c>
      <c r="D70" s="1" t="s">
        <v>43</v>
      </c>
      <c r="E70" s="1" t="n">
        <v>0.019527</v>
      </c>
      <c r="F70" s="1" t="n">
        <v>29.737</v>
      </c>
      <c r="G70" s="1" t="n">
        <v>3</v>
      </c>
      <c r="H70" s="4" t="b">
        <f aca="false">AND(E70&lt;&gt;"",F70&lt;=100,G70&gt;=2)</f>
        <v>1</v>
      </c>
    </row>
    <row r="71" customFormat="false" ht="15" hidden="false" customHeight="false" outlineLevel="0" collapsed="false">
      <c r="A71" s="1" t="s">
        <v>78</v>
      </c>
      <c r="B71" s="1" t="n">
        <f aca="false">VALUE(LEFT(A71,4))</f>
        <v>2021</v>
      </c>
      <c r="C71" s="1" t="n">
        <f aca="false">VALUE(RIGHT(A71,2))</f>
        <v>11</v>
      </c>
      <c r="D71" s="1" t="s">
        <v>44</v>
      </c>
      <c r="E71" s="1" t="n">
        <v>0.060012</v>
      </c>
      <c r="F71" s="1" t="n">
        <v>106.674</v>
      </c>
      <c r="G71" s="1" t="n">
        <v>3</v>
      </c>
      <c r="H71" s="4" t="b">
        <f aca="false">AND(E71&lt;&gt;"",F71&lt;=100,G71&gt;=2)</f>
        <v>0</v>
      </c>
    </row>
    <row r="72" customFormat="false" ht="15" hidden="false" customHeight="false" outlineLevel="0" collapsed="false">
      <c r="A72" s="1" t="s">
        <v>79</v>
      </c>
      <c r="B72" s="1" t="n">
        <f aca="false">VALUE(LEFT(A72,4))</f>
        <v>2021</v>
      </c>
      <c r="C72" s="1" t="n">
        <f aca="false">VALUE(RIGHT(A72,2))</f>
        <v>12</v>
      </c>
      <c r="D72" s="1" t="s">
        <v>43</v>
      </c>
      <c r="E72" s="1"/>
      <c r="F72" s="1"/>
      <c r="G72" s="1" t="n">
        <v>4</v>
      </c>
      <c r="H72" s="4" t="b">
        <f aca="false">AND(E72&lt;&gt;"",F72&lt;=100,G72&gt;=2)</f>
        <v>0</v>
      </c>
    </row>
    <row r="73" customFormat="false" ht="15" hidden="false" customHeight="false" outlineLevel="0" collapsed="false">
      <c r="A73" s="1" t="s">
        <v>79</v>
      </c>
      <c r="B73" s="1" t="n">
        <f aca="false">VALUE(LEFT(A73,4))</f>
        <v>2021</v>
      </c>
      <c r="C73" s="1" t="n">
        <f aca="false">VALUE(RIGHT(A73,2))</f>
        <v>12</v>
      </c>
      <c r="D73" s="1" t="s">
        <v>44</v>
      </c>
      <c r="E73" s="1" t="n">
        <v>0.002909</v>
      </c>
      <c r="F73" s="1" t="n">
        <v>47.889</v>
      </c>
      <c r="G73" s="1" t="n">
        <v>4</v>
      </c>
      <c r="H73" s="4" t="b">
        <f aca="false">AND(E73&lt;&gt;"",F73&lt;=100,G73&gt;=2)</f>
        <v>1</v>
      </c>
    </row>
    <row r="74" customFormat="false" ht="15" hidden="false" customHeight="false" outlineLevel="0" collapsed="false">
      <c r="A74" s="1" t="s">
        <v>80</v>
      </c>
      <c r="B74" s="1" t="n">
        <f aca="false">VALUE(LEFT(A74,4))</f>
        <v>2022</v>
      </c>
      <c r="C74" s="1" t="n">
        <f aca="false">VALUE(RIGHT(A74,2))</f>
        <v>1</v>
      </c>
      <c r="D74" s="1" t="s">
        <v>43</v>
      </c>
      <c r="E74" s="1" t="n">
        <v>-0.005318</v>
      </c>
      <c r="F74" s="1" t="n">
        <v>13.45</v>
      </c>
      <c r="G74" s="1" t="n">
        <v>11</v>
      </c>
      <c r="H74" s="4" t="b">
        <f aca="false">AND(E74&lt;&gt;"",F74&lt;=100,G74&gt;=2)</f>
        <v>1</v>
      </c>
    </row>
    <row r="75" customFormat="false" ht="15" hidden="false" customHeight="false" outlineLevel="0" collapsed="false">
      <c r="A75" s="1" t="s">
        <v>80</v>
      </c>
      <c r="B75" s="1" t="n">
        <f aca="false">VALUE(LEFT(A75,4))</f>
        <v>2022</v>
      </c>
      <c r="C75" s="1" t="n">
        <f aca="false">VALUE(RIGHT(A75,2))</f>
        <v>1</v>
      </c>
      <c r="D75" s="1" t="s">
        <v>44</v>
      </c>
      <c r="E75" s="1" t="n">
        <v>0.013226</v>
      </c>
      <c r="F75" s="1" t="n">
        <v>15.817</v>
      </c>
      <c r="G75" s="1" t="n">
        <v>11</v>
      </c>
      <c r="H75" s="4" t="b">
        <f aca="false">AND(E75&lt;&gt;"",F75&lt;=100,G75&gt;=2)</f>
        <v>1</v>
      </c>
    </row>
    <row r="76" customFormat="false" ht="15" hidden="false" customHeight="false" outlineLevel="0" collapsed="false">
      <c r="A76" s="1" t="s">
        <v>81</v>
      </c>
      <c r="B76" s="1" t="n">
        <f aca="false">VALUE(LEFT(A76,4))</f>
        <v>2022</v>
      </c>
      <c r="C76" s="1" t="n">
        <f aca="false">VALUE(RIGHT(A76,2))</f>
        <v>2</v>
      </c>
      <c r="D76" s="1" t="s">
        <v>43</v>
      </c>
      <c r="E76" s="1" t="n">
        <v>0.005589</v>
      </c>
      <c r="F76" s="1" t="n">
        <v>7.656</v>
      </c>
      <c r="G76" s="1" t="n">
        <v>3</v>
      </c>
      <c r="H76" s="4" t="b">
        <f aca="false">AND(E76&lt;&gt;"",F76&lt;=100,G76&gt;=2)</f>
        <v>1</v>
      </c>
    </row>
    <row r="77" customFormat="false" ht="15" hidden="false" customHeight="false" outlineLevel="0" collapsed="false">
      <c r="A77" s="1" t="s">
        <v>81</v>
      </c>
      <c r="B77" s="1" t="n">
        <f aca="false">VALUE(LEFT(A77,4))</f>
        <v>2022</v>
      </c>
      <c r="C77" s="1" t="n">
        <f aca="false">VALUE(RIGHT(A77,2))</f>
        <v>2</v>
      </c>
      <c r="D77" s="1" t="s">
        <v>44</v>
      </c>
      <c r="E77" s="1" t="n">
        <v>-0.007312</v>
      </c>
      <c r="F77" s="1" t="n">
        <v>6.921</v>
      </c>
      <c r="G77" s="1" t="n">
        <v>3</v>
      </c>
      <c r="H77" s="4" t="b">
        <f aca="false">AND(E77&lt;&gt;"",F77&lt;=100,G77&gt;=2)</f>
        <v>1</v>
      </c>
    </row>
    <row r="78" customFormat="false" ht="15" hidden="false" customHeight="false" outlineLevel="0" collapsed="false">
      <c r="A78" s="1" t="s">
        <v>82</v>
      </c>
      <c r="B78" s="1" t="n">
        <f aca="false">VALUE(LEFT(A78,4))</f>
        <v>2022</v>
      </c>
      <c r="C78" s="1" t="n">
        <f aca="false">VALUE(RIGHT(A78,2))</f>
        <v>3</v>
      </c>
      <c r="D78" s="1" t="s">
        <v>43</v>
      </c>
      <c r="E78" s="1" t="n">
        <v>0.01001</v>
      </c>
      <c r="F78" s="1" t="n">
        <v>7.598</v>
      </c>
      <c r="G78" s="1" t="n">
        <v>13</v>
      </c>
      <c r="H78" s="4" t="b">
        <f aca="false">AND(E78&lt;&gt;"",F78&lt;=100,G78&gt;=2)</f>
        <v>1</v>
      </c>
    </row>
    <row r="79" customFormat="false" ht="15" hidden="false" customHeight="false" outlineLevel="0" collapsed="false">
      <c r="A79" s="1" t="s">
        <v>82</v>
      </c>
      <c r="B79" s="1" t="n">
        <f aca="false">VALUE(LEFT(A79,4))</f>
        <v>2022</v>
      </c>
      <c r="C79" s="1" t="n">
        <f aca="false">VALUE(RIGHT(A79,2))</f>
        <v>3</v>
      </c>
      <c r="D79" s="1" t="s">
        <v>44</v>
      </c>
      <c r="E79" s="1" t="n">
        <v>0.025841</v>
      </c>
      <c r="F79" s="1" t="n">
        <v>35.82</v>
      </c>
      <c r="G79" s="1" t="n">
        <v>13</v>
      </c>
      <c r="H79" s="4" t="b">
        <f aca="false">AND(E79&lt;&gt;"",F79&lt;=100,G79&gt;=2)</f>
        <v>1</v>
      </c>
    </row>
    <row r="80" customFormat="false" ht="15" hidden="false" customHeight="false" outlineLevel="0" collapsed="false">
      <c r="A80" s="1" t="s">
        <v>83</v>
      </c>
      <c r="B80" s="1" t="n">
        <f aca="false">VALUE(LEFT(A80,4))</f>
        <v>2022</v>
      </c>
      <c r="C80" s="1" t="n">
        <f aca="false">VALUE(RIGHT(A80,2))</f>
        <v>4</v>
      </c>
      <c r="D80" s="1" t="s">
        <v>43</v>
      </c>
      <c r="E80" s="1"/>
      <c r="F80" s="1"/>
      <c r="G80" s="1" t="n">
        <v>6</v>
      </c>
      <c r="H80" s="4" t="b">
        <f aca="false">AND(E80&lt;&gt;"",F80&lt;=100,G80&gt;=2)</f>
        <v>0</v>
      </c>
    </row>
    <row r="81" customFormat="false" ht="15" hidden="false" customHeight="false" outlineLevel="0" collapsed="false">
      <c r="A81" s="1" t="s">
        <v>83</v>
      </c>
      <c r="B81" s="1" t="n">
        <f aca="false">VALUE(LEFT(A81,4))</f>
        <v>2022</v>
      </c>
      <c r="C81" s="1" t="n">
        <f aca="false">VALUE(RIGHT(A81,2))</f>
        <v>4</v>
      </c>
      <c r="D81" s="1" t="s">
        <v>44</v>
      </c>
      <c r="E81" s="1" t="n">
        <v>-0.003988</v>
      </c>
      <c r="F81" s="1" t="n">
        <v>32.005</v>
      </c>
      <c r="G81" s="1" t="n">
        <v>6</v>
      </c>
      <c r="H81" s="4" t="b">
        <f aca="false">AND(E81&lt;&gt;"",F81&lt;=100,G81&gt;=2)</f>
        <v>1</v>
      </c>
    </row>
    <row r="82" customFormat="false" ht="15" hidden="false" customHeight="false" outlineLevel="0" collapsed="false">
      <c r="A82" s="1" t="s">
        <v>84</v>
      </c>
      <c r="B82" s="1" t="n">
        <f aca="false">VALUE(LEFT(A82,4))</f>
        <v>2022</v>
      </c>
      <c r="C82" s="1" t="n">
        <f aca="false">VALUE(RIGHT(A82,2))</f>
        <v>5</v>
      </c>
      <c r="D82" s="1" t="s">
        <v>43</v>
      </c>
      <c r="E82" s="1" t="n">
        <v>0.085183</v>
      </c>
      <c r="F82" s="1" t="n">
        <v>13.772</v>
      </c>
      <c r="G82" s="1" t="n">
        <v>7</v>
      </c>
      <c r="H82" s="4" t="b">
        <f aca="false">AND(E82&lt;&gt;"",F82&lt;=100,G82&gt;=2)</f>
        <v>1</v>
      </c>
    </row>
    <row r="83" customFormat="false" ht="15" hidden="false" customHeight="false" outlineLevel="0" collapsed="false">
      <c r="A83" s="1" t="s">
        <v>84</v>
      </c>
      <c r="B83" s="1" t="n">
        <f aca="false">VALUE(LEFT(A83,4))</f>
        <v>2022</v>
      </c>
      <c r="C83" s="1" t="n">
        <f aca="false">VALUE(RIGHT(A83,2))</f>
        <v>5</v>
      </c>
      <c r="D83" s="1" t="s">
        <v>44</v>
      </c>
      <c r="E83" s="1" t="n">
        <v>0.048749</v>
      </c>
      <c r="F83" s="1" t="n">
        <v>16.453</v>
      </c>
      <c r="G83" s="1" t="n">
        <v>7</v>
      </c>
      <c r="H83" s="4" t="b">
        <f aca="false">AND(E83&lt;&gt;"",F83&lt;=100,G83&gt;=2)</f>
        <v>1</v>
      </c>
    </row>
    <row r="84" customFormat="false" ht="15" hidden="false" customHeight="false" outlineLevel="0" collapsed="false">
      <c r="A84" s="1" t="s">
        <v>85</v>
      </c>
      <c r="B84" s="1" t="n">
        <f aca="false">VALUE(LEFT(A84,4))</f>
        <v>2022</v>
      </c>
      <c r="C84" s="1" t="n">
        <f aca="false">VALUE(RIGHT(A84,2))</f>
        <v>6</v>
      </c>
      <c r="D84" s="1" t="s">
        <v>43</v>
      </c>
      <c r="E84" s="1"/>
      <c r="F84" s="1"/>
      <c r="G84" s="1" t="n">
        <v>3</v>
      </c>
      <c r="H84" s="4" t="b">
        <f aca="false">AND(E84&lt;&gt;"",F84&lt;=100,G84&gt;=2)</f>
        <v>0</v>
      </c>
    </row>
    <row r="85" customFormat="false" ht="15" hidden="false" customHeight="false" outlineLevel="0" collapsed="false">
      <c r="A85" s="1" t="s">
        <v>85</v>
      </c>
      <c r="B85" s="1" t="n">
        <f aca="false">VALUE(LEFT(A85,4))</f>
        <v>2022</v>
      </c>
      <c r="C85" s="1" t="n">
        <f aca="false">VALUE(RIGHT(A85,2))</f>
        <v>6</v>
      </c>
      <c r="D85" s="1" t="s">
        <v>44</v>
      </c>
      <c r="E85" s="1" t="n">
        <v>-0.00118</v>
      </c>
      <c r="F85" s="1" t="n">
        <v>14.421</v>
      </c>
      <c r="G85" s="1" t="n">
        <v>3</v>
      </c>
      <c r="H85" s="4" t="b">
        <f aca="false">AND(E85&lt;&gt;"",F85&lt;=100,G85&gt;=2)</f>
        <v>1</v>
      </c>
    </row>
    <row r="86" customFormat="false" ht="15" hidden="false" customHeight="false" outlineLevel="0" collapsed="false">
      <c r="A86" s="1" t="s">
        <v>86</v>
      </c>
      <c r="B86" s="1" t="n">
        <f aca="false">VALUE(LEFT(A86,4))</f>
        <v>2022</v>
      </c>
      <c r="C86" s="1" t="n">
        <f aca="false">VALUE(RIGHT(A86,2))</f>
        <v>7</v>
      </c>
      <c r="D86" s="1" t="s">
        <v>43</v>
      </c>
      <c r="E86" s="1" t="n">
        <v>0.030966</v>
      </c>
      <c r="F86" s="1" t="n">
        <v>27.991</v>
      </c>
      <c r="G86" s="1" t="n">
        <v>6</v>
      </c>
      <c r="H86" s="4" t="b">
        <f aca="false">AND(E86&lt;&gt;"",F86&lt;=100,G86&gt;=2)</f>
        <v>1</v>
      </c>
    </row>
    <row r="87" customFormat="false" ht="15" hidden="false" customHeight="false" outlineLevel="0" collapsed="false">
      <c r="A87" s="1" t="s">
        <v>86</v>
      </c>
      <c r="B87" s="1" t="n">
        <f aca="false">VALUE(LEFT(A87,4))</f>
        <v>2022</v>
      </c>
      <c r="C87" s="1" t="n">
        <f aca="false">VALUE(RIGHT(A87,2))</f>
        <v>7</v>
      </c>
      <c r="D87" s="1" t="s">
        <v>44</v>
      </c>
      <c r="E87" s="1" t="n">
        <v>-0.001778</v>
      </c>
      <c r="F87" s="1" t="n">
        <v>16.223</v>
      </c>
      <c r="G87" s="1" t="n">
        <v>6</v>
      </c>
      <c r="H87" s="4" t="b">
        <f aca="false">AND(E87&lt;&gt;"",F87&lt;=100,G87&gt;=2)</f>
        <v>1</v>
      </c>
    </row>
    <row r="88" customFormat="false" ht="15" hidden="false" customHeight="false" outlineLevel="0" collapsed="false">
      <c r="A88" s="1" t="s">
        <v>87</v>
      </c>
      <c r="B88" s="1" t="n">
        <f aca="false">VALUE(LEFT(A88,4))</f>
        <v>2022</v>
      </c>
      <c r="C88" s="1" t="n">
        <f aca="false">VALUE(RIGHT(A88,2))</f>
        <v>8</v>
      </c>
      <c r="D88" s="1" t="s">
        <v>43</v>
      </c>
      <c r="E88" s="1" t="n">
        <v>0.043275</v>
      </c>
      <c r="F88" s="1" t="n">
        <v>20.169</v>
      </c>
      <c r="G88" s="1" t="n">
        <v>12</v>
      </c>
      <c r="H88" s="4" t="b">
        <f aca="false">AND(E88&lt;&gt;"",F88&lt;=100,G88&gt;=2)</f>
        <v>1</v>
      </c>
    </row>
    <row r="89" customFormat="false" ht="15" hidden="false" customHeight="false" outlineLevel="0" collapsed="false">
      <c r="A89" s="1" t="s">
        <v>87</v>
      </c>
      <c r="B89" s="1" t="n">
        <f aca="false">VALUE(LEFT(A89,4))</f>
        <v>2022</v>
      </c>
      <c r="C89" s="1" t="n">
        <f aca="false">VALUE(RIGHT(A89,2))</f>
        <v>8</v>
      </c>
      <c r="D89" s="1" t="s">
        <v>44</v>
      </c>
      <c r="E89" s="1" t="n">
        <v>0.034966</v>
      </c>
      <c r="F89" s="1" t="n">
        <v>24.071</v>
      </c>
      <c r="G89" s="1" t="n">
        <v>12</v>
      </c>
      <c r="H89" s="4" t="b">
        <f aca="false">AND(E89&lt;&gt;"",F89&lt;=100,G89&gt;=2)</f>
        <v>1</v>
      </c>
    </row>
    <row r="90" customFormat="false" ht="15" hidden="false" customHeight="false" outlineLevel="0" collapsed="false">
      <c r="A90" s="1" t="s">
        <v>88</v>
      </c>
      <c r="B90" s="1" t="n">
        <f aca="false">VALUE(LEFT(A90,4))</f>
        <v>2022</v>
      </c>
      <c r="C90" s="1" t="n">
        <f aca="false">VALUE(RIGHT(A90,2))</f>
        <v>9</v>
      </c>
      <c r="D90" s="1" t="s">
        <v>43</v>
      </c>
      <c r="E90" s="1"/>
      <c r="F90" s="1"/>
      <c r="G90" s="1" t="n">
        <v>3</v>
      </c>
      <c r="H90" s="4" t="b">
        <f aca="false">AND(E90&lt;&gt;"",F90&lt;=100,G90&gt;=2)</f>
        <v>0</v>
      </c>
    </row>
    <row r="91" customFormat="false" ht="15" hidden="false" customHeight="false" outlineLevel="0" collapsed="false">
      <c r="A91" s="1" t="s">
        <v>88</v>
      </c>
      <c r="B91" s="1" t="n">
        <f aca="false">VALUE(LEFT(A91,4))</f>
        <v>2022</v>
      </c>
      <c r="C91" s="1" t="n">
        <f aca="false">VALUE(RIGHT(A91,2))</f>
        <v>9</v>
      </c>
      <c r="D91" s="1" t="s">
        <v>44</v>
      </c>
      <c r="E91" s="1"/>
      <c r="F91" s="1"/>
      <c r="G91" s="1" t="n">
        <v>3</v>
      </c>
      <c r="H91" s="4" t="b">
        <f aca="false">AND(E91&lt;&gt;"",F91&lt;=100,G91&gt;=2)</f>
        <v>0</v>
      </c>
    </row>
    <row r="92" customFormat="false" ht="15" hidden="false" customHeight="false" outlineLevel="0" collapsed="false">
      <c r="A92" s="1" t="s">
        <v>89</v>
      </c>
      <c r="B92" s="1" t="n">
        <f aca="false">VALUE(LEFT(A92,4))</f>
        <v>2022</v>
      </c>
      <c r="C92" s="1" t="n">
        <f aca="false">VALUE(RIGHT(A92,2))</f>
        <v>10</v>
      </c>
      <c r="D92" s="1" t="s">
        <v>43</v>
      </c>
      <c r="E92" s="1"/>
      <c r="F92" s="1"/>
      <c r="G92" s="1" t="n">
        <v>1</v>
      </c>
      <c r="H92" s="4" t="b">
        <f aca="false">AND(E92&lt;&gt;"",F92&lt;=100,G92&gt;=2)</f>
        <v>0</v>
      </c>
    </row>
    <row r="93" customFormat="false" ht="15" hidden="false" customHeight="false" outlineLevel="0" collapsed="false">
      <c r="A93" s="1" t="s">
        <v>89</v>
      </c>
      <c r="B93" s="1" t="n">
        <f aca="false">VALUE(LEFT(A93,4))</f>
        <v>2022</v>
      </c>
      <c r="C93" s="1" t="n">
        <f aca="false">VALUE(RIGHT(A93,2))</f>
        <v>10</v>
      </c>
      <c r="D93" s="1" t="s">
        <v>44</v>
      </c>
      <c r="E93" s="1"/>
      <c r="F93" s="1"/>
      <c r="G93" s="1" t="n">
        <v>1</v>
      </c>
      <c r="H93" s="4" t="b">
        <f aca="false">AND(E93&lt;&gt;"",F93&lt;=100,G93&gt;=2)</f>
        <v>0</v>
      </c>
    </row>
    <row r="94" customFormat="false" ht="15" hidden="false" customHeight="false" outlineLevel="0" collapsed="false">
      <c r="A94" s="1" t="s">
        <v>90</v>
      </c>
      <c r="B94" s="1" t="n">
        <f aca="false">VALUE(LEFT(A94,4))</f>
        <v>2022</v>
      </c>
      <c r="C94" s="1" t="n">
        <f aca="false">VALUE(RIGHT(A94,2))</f>
        <v>11</v>
      </c>
      <c r="D94" s="1" t="s">
        <v>43</v>
      </c>
      <c r="E94" s="1"/>
      <c r="F94" s="1"/>
      <c r="G94" s="1" t="n">
        <v>0</v>
      </c>
      <c r="H94" s="4" t="b">
        <f aca="false">AND(E94&lt;&gt;"",F94&lt;=100,G94&gt;=2)</f>
        <v>0</v>
      </c>
    </row>
    <row r="95" customFormat="false" ht="15" hidden="false" customHeight="false" outlineLevel="0" collapsed="false">
      <c r="A95" s="1" t="s">
        <v>90</v>
      </c>
      <c r="B95" s="1" t="n">
        <f aca="false">VALUE(LEFT(A95,4))</f>
        <v>2022</v>
      </c>
      <c r="C95" s="1" t="n">
        <f aca="false">VALUE(RIGHT(A95,2))</f>
        <v>11</v>
      </c>
      <c r="D95" s="1" t="s">
        <v>44</v>
      </c>
      <c r="E95" s="1"/>
      <c r="F95" s="1"/>
      <c r="G95" s="1" t="n">
        <v>0</v>
      </c>
      <c r="H95" s="4" t="b">
        <f aca="false">AND(E95&lt;&gt;"",F95&lt;=100,G95&gt;=2)</f>
        <v>0</v>
      </c>
    </row>
    <row r="96" customFormat="false" ht="15" hidden="false" customHeight="false" outlineLevel="0" collapsed="false">
      <c r="A96" s="1" t="s">
        <v>91</v>
      </c>
      <c r="B96" s="1" t="n">
        <f aca="false">VALUE(LEFT(A96,4))</f>
        <v>2022</v>
      </c>
      <c r="C96" s="1" t="n">
        <f aca="false">VALUE(RIGHT(A96,2))</f>
        <v>12</v>
      </c>
      <c r="D96" s="1" t="s">
        <v>43</v>
      </c>
      <c r="E96" s="1"/>
      <c r="F96" s="1"/>
      <c r="G96" s="1" t="n">
        <v>0</v>
      </c>
      <c r="H96" s="4" t="b">
        <f aca="false">AND(E96&lt;&gt;"",F96&lt;=100,G96&gt;=2)</f>
        <v>0</v>
      </c>
    </row>
    <row r="97" customFormat="false" ht="15" hidden="false" customHeight="false" outlineLevel="0" collapsed="false">
      <c r="A97" s="1" t="s">
        <v>91</v>
      </c>
      <c r="B97" s="1" t="n">
        <f aca="false">VALUE(LEFT(A97,4))</f>
        <v>2022</v>
      </c>
      <c r="C97" s="1" t="n">
        <f aca="false">VALUE(RIGHT(A97,2))</f>
        <v>12</v>
      </c>
      <c r="D97" s="1" t="s">
        <v>44</v>
      </c>
      <c r="E97" s="1"/>
      <c r="F97" s="1"/>
      <c r="G97" s="1" t="n">
        <v>0</v>
      </c>
      <c r="H97" s="4" t="b">
        <f aca="false">AND(E97&lt;&gt;"",F97&lt;=100,G97&gt;=2)</f>
        <v>0</v>
      </c>
    </row>
    <row r="98" customFormat="false" ht="15" hidden="false" customHeight="false" outlineLevel="0" collapsed="false">
      <c r="A98" s="1" t="s">
        <v>92</v>
      </c>
      <c r="B98" s="1" t="n">
        <f aca="false">VALUE(LEFT(A98,4))</f>
        <v>2023</v>
      </c>
      <c r="C98" s="1" t="n">
        <f aca="false">VALUE(RIGHT(A98,2))</f>
        <v>1</v>
      </c>
      <c r="D98" s="1" t="s">
        <v>43</v>
      </c>
      <c r="E98" s="1" t="n">
        <v>0.005764</v>
      </c>
      <c r="F98" s="1" t="n">
        <v>10.933</v>
      </c>
      <c r="G98" s="1" t="n">
        <v>3</v>
      </c>
      <c r="H98" s="4" t="b">
        <f aca="false">AND(E98&lt;&gt;"",F98&lt;=100,G98&gt;=2)</f>
        <v>1</v>
      </c>
    </row>
    <row r="99" customFormat="false" ht="15" hidden="false" customHeight="false" outlineLevel="0" collapsed="false">
      <c r="A99" s="1" t="s">
        <v>92</v>
      </c>
      <c r="B99" s="1" t="n">
        <f aca="false">VALUE(LEFT(A99,4))</f>
        <v>2023</v>
      </c>
      <c r="C99" s="1" t="n">
        <f aca="false">VALUE(RIGHT(A99,2))</f>
        <v>1</v>
      </c>
      <c r="D99" s="1" t="s">
        <v>44</v>
      </c>
      <c r="E99" s="1" t="n">
        <v>0.042019</v>
      </c>
      <c r="F99" s="1" t="n">
        <v>33.926</v>
      </c>
      <c r="G99" s="1" t="n">
        <v>3</v>
      </c>
      <c r="H99" s="4" t="b">
        <f aca="false">AND(E99&lt;&gt;"",F99&lt;=100,G99&gt;=2)</f>
        <v>1</v>
      </c>
    </row>
    <row r="100" customFormat="false" ht="15" hidden="false" customHeight="false" outlineLevel="0" collapsed="false">
      <c r="A100" s="1" t="s">
        <v>93</v>
      </c>
      <c r="B100" s="1" t="n">
        <f aca="false">VALUE(LEFT(A100,4))</f>
        <v>2023</v>
      </c>
      <c r="C100" s="1" t="n">
        <f aca="false">VALUE(RIGHT(A100,2))</f>
        <v>2</v>
      </c>
      <c r="D100" s="1" t="s">
        <v>43</v>
      </c>
      <c r="E100" s="1" t="n">
        <v>-0.029049</v>
      </c>
      <c r="F100" s="1" t="n">
        <v>10.578</v>
      </c>
      <c r="G100" s="1" t="n">
        <v>4</v>
      </c>
      <c r="H100" s="4" t="b">
        <f aca="false">AND(E100&lt;&gt;"",F100&lt;=100,G100&gt;=2)</f>
        <v>1</v>
      </c>
    </row>
    <row r="101" customFormat="false" ht="15" hidden="false" customHeight="false" outlineLevel="0" collapsed="false">
      <c r="A101" s="1" t="s">
        <v>93</v>
      </c>
      <c r="B101" s="1" t="n">
        <f aca="false">VALUE(LEFT(A101,4))</f>
        <v>2023</v>
      </c>
      <c r="C101" s="1" t="n">
        <f aca="false">VALUE(RIGHT(A101,2))</f>
        <v>2</v>
      </c>
      <c r="D101" s="1" t="s">
        <v>44</v>
      </c>
      <c r="E101" s="1" t="n">
        <v>0.01104</v>
      </c>
      <c r="F101" s="1" t="n">
        <v>35.145</v>
      </c>
      <c r="G101" s="1" t="n">
        <v>4</v>
      </c>
      <c r="H101" s="4" t="b">
        <f aca="false">AND(E101&lt;&gt;"",F101&lt;=100,G101&gt;=2)</f>
        <v>1</v>
      </c>
    </row>
    <row r="102" customFormat="false" ht="15" hidden="false" customHeight="false" outlineLevel="0" collapsed="false">
      <c r="A102" s="1" t="s">
        <v>94</v>
      </c>
      <c r="B102" s="1" t="n">
        <f aca="false">VALUE(LEFT(A102,4))</f>
        <v>2023</v>
      </c>
      <c r="C102" s="1" t="n">
        <f aca="false">VALUE(RIGHT(A102,2))</f>
        <v>3</v>
      </c>
      <c r="D102" s="1" t="s">
        <v>43</v>
      </c>
      <c r="E102" s="1" t="n">
        <v>0.008307</v>
      </c>
      <c r="F102" s="1" t="n">
        <v>37.138</v>
      </c>
      <c r="G102" s="1" t="n">
        <v>8</v>
      </c>
      <c r="H102" s="4" t="b">
        <f aca="false">AND(E102&lt;&gt;"",F102&lt;=100,G102&gt;=2)</f>
        <v>1</v>
      </c>
    </row>
    <row r="103" customFormat="false" ht="15" hidden="false" customHeight="false" outlineLevel="0" collapsed="false">
      <c r="A103" s="1" t="s">
        <v>94</v>
      </c>
      <c r="B103" s="1" t="n">
        <f aca="false">VALUE(LEFT(A103,4))</f>
        <v>2023</v>
      </c>
      <c r="C103" s="1" t="n">
        <f aca="false">VALUE(RIGHT(A103,2))</f>
        <v>3</v>
      </c>
      <c r="D103" s="1" t="s">
        <v>44</v>
      </c>
      <c r="E103" s="1" t="n">
        <v>0.037432</v>
      </c>
      <c r="F103" s="1" t="n">
        <v>33.734</v>
      </c>
      <c r="G103" s="1" t="n">
        <v>8</v>
      </c>
      <c r="H103" s="4" t="b">
        <f aca="false">AND(E103&lt;&gt;"",F103&lt;=100,G103&gt;=2)</f>
        <v>1</v>
      </c>
    </row>
    <row r="104" customFormat="false" ht="15" hidden="false" customHeight="false" outlineLevel="0" collapsed="false">
      <c r="A104" s="1" t="s">
        <v>95</v>
      </c>
      <c r="B104" s="1" t="n">
        <f aca="false">VALUE(LEFT(A104,4))</f>
        <v>2023</v>
      </c>
      <c r="C104" s="1" t="n">
        <f aca="false">VALUE(RIGHT(A104,2))</f>
        <v>4</v>
      </c>
      <c r="D104" s="1" t="s">
        <v>43</v>
      </c>
      <c r="E104" s="1" t="n">
        <v>0.015141</v>
      </c>
      <c r="F104" s="1" t="n">
        <v>23.207</v>
      </c>
      <c r="G104" s="1" t="n">
        <v>11</v>
      </c>
      <c r="H104" s="4" t="b">
        <f aca="false">AND(E104&lt;&gt;"",F104&lt;=100,G104&gt;=2)</f>
        <v>1</v>
      </c>
    </row>
    <row r="105" customFormat="false" ht="15" hidden="false" customHeight="false" outlineLevel="0" collapsed="false">
      <c r="A105" s="1" t="s">
        <v>95</v>
      </c>
      <c r="B105" s="1" t="n">
        <f aca="false">VALUE(LEFT(A105,4))</f>
        <v>2023</v>
      </c>
      <c r="C105" s="1" t="n">
        <f aca="false">VALUE(RIGHT(A105,2))</f>
        <v>4</v>
      </c>
      <c r="D105" s="1" t="s">
        <v>44</v>
      </c>
      <c r="E105" s="1" t="n">
        <v>0.019721</v>
      </c>
      <c r="F105" s="1" t="n">
        <v>24.905</v>
      </c>
      <c r="G105" s="1" t="n">
        <v>11</v>
      </c>
      <c r="H105" s="4" t="b">
        <f aca="false">AND(E105&lt;&gt;"",F105&lt;=100,G105&gt;=2)</f>
        <v>1</v>
      </c>
    </row>
    <row r="106" customFormat="false" ht="15" hidden="false" customHeight="false" outlineLevel="0" collapsed="false">
      <c r="A106" s="1" t="s">
        <v>96</v>
      </c>
      <c r="B106" s="1" t="n">
        <f aca="false">VALUE(LEFT(A106,4))</f>
        <v>2023</v>
      </c>
      <c r="C106" s="1" t="n">
        <f aca="false">VALUE(RIGHT(A106,2))</f>
        <v>5</v>
      </c>
      <c r="D106" s="1" t="s">
        <v>43</v>
      </c>
      <c r="E106" s="1" t="n">
        <v>0.03497</v>
      </c>
      <c r="F106" s="1" t="n">
        <v>28.218</v>
      </c>
      <c r="G106" s="1" t="n">
        <v>12</v>
      </c>
      <c r="H106" s="4" t="b">
        <f aca="false">AND(E106&lt;&gt;"",F106&lt;=100,G106&gt;=2)</f>
        <v>1</v>
      </c>
    </row>
    <row r="107" customFormat="false" ht="15" hidden="false" customHeight="false" outlineLevel="0" collapsed="false">
      <c r="A107" s="1" t="s">
        <v>96</v>
      </c>
      <c r="B107" s="1" t="n">
        <f aca="false">VALUE(LEFT(A107,4))</f>
        <v>2023</v>
      </c>
      <c r="C107" s="1" t="n">
        <f aca="false">VALUE(RIGHT(A107,2))</f>
        <v>5</v>
      </c>
      <c r="D107" s="1" t="s">
        <v>44</v>
      </c>
      <c r="E107" s="1" t="n">
        <v>0.022317</v>
      </c>
      <c r="F107" s="1" t="n">
        <v>41.291</v>
      </c>
      <c r="G107" s="1" t="n">
        <v>12</v>
      </c>
      <c r="H107" s="4" t="b">
        <f aca="false">AND(E107&lt;&gt;"",F107&lt;=100,G107&gt;=2)</f>
        <v>1</v>
      </c>
    </row>
    <row r="108" customFormat="false" ht="15" hidden="false" customHeight="false" outlineLevel="0" collapsed="false">
      <c r="A108" s="1" t="s">
        <v>97</v>
      </c>
      <c r="B108" s="1" t="n">
        <f aca="false">VALUE(LEFT(A108,4))</f>
        <v>2023</v>
      </c>
      <c r="C108" s="1" t="n">
        <f aca="false">VALUE(RIGHT(A108,2))</f>
        <v>6</v>
      </c>
      <c r="D108" s="1" t="s">
        <v>43</v>
      </c>
      <c r="E108" s="1" t="n">
        <v>0.031586</v>
      </c>
      <c r="F108" s="1" t="n">
        <v>22.645</v>
      </c>
      <c r="G108" s="1" t="n">
        <v>12</v>
      </c>
      <c r="H108" s="4" t="b">
        <f aca="false">AND(E108&lt;&gt;"",F108&lt;=100,G108&gt;=2)</f>
        <v>1</v>
      </c>
    </row>
    <row r="109" customFormat="false" ht="15" hidden="false" customHeight="false" outlineLevel="0" collapsed="false">
      <c r="A109" s="1" t="s">
        <v>97</v>
      </c>
      <c r="B109" s="1" t="n">
        <f aca="false">VALUE(LEFT(A109,4))</f>
        <v>2023</v>
      </c>
      <c r="C109" s="1" t="n">
        <f aca="false">VALUE(RIGHT(A109,2))</f>
        <v>6</v>
      </c>
      <c r="D109" s="1" t="s">
        <v>44</v>
      </c>
      <c r="E109" s="1" t="n">
        <v>0.018607</v>
      </c>
      <c r="F109" s="1" t="n">
        <v>15.05</v>
      </c>
      <c r="G109" s="1" t="n">
        <v>12</v>
      </c>
      <c r="H109" s="4" t="b">
        <f aca="false">AND(E109&lt;&gt;"",F109&lt;=100,G109&gt;=2)</f>
        <v>1</v>
      </c>
    </row>
    <row r="110" customFormat="false" ht="15" hidden="false" customHeight="false" outlineLevel="0" collapsed="false">
      <c r="A110" s="1" t="s">
        <v>98</v>
      </c>
      <c r="B110" s="1" t="n">
        <f aca="false">VALUE(LEFT(A110,4))</f>
        <v>2023</v>
      </c>
      <c r="C110" s="1" t="n">
        <f aca="false">VALUE(RIGHT(A110,2))</f>
        <v>7</v>
      </c>
      <c r="D110" s="1" t="s">
        <v>43</v>
      </c>
      <c r="E110" s="1" t="n">
        <v>0.0461</v>
      </c>
      <c r="F110" s="1" t="n">
        <v>30.429</v>
      </c>
      <c r="G110" s="1" t="n">
        <v>6</v>
      </c>
      <c r="H110" s="4" t="b">
        <f aca="false">AND(E110&lt;&gt;"",F110&lt;=100,G110&gt;=2)</f>
        <v>1</v>
      </c>
    </row>
    <row r="111" customFormat="false" ht="15" hidden="false" customHeight="false" outlineLevel="0" collapsed="false">
      <c r="A111" s="1" t="s">
        <v>98</v>
      </c>
      <c r="B111" s="1" t="n">
        <f aca="false">VALUE(LEFT(A111,4))</f>
        <v>2023</v>
      </c>
      <c r="C111" s="1" t="n">
        <f aca="false">VALUE(RIGHT(A111,2))</f>
        <v>7</v>
      </c>
      <c r="D111" s="1" t="s">
        <v>44</v>
      </c>
      <c r="E111" s="1" t="n">
        <v>0.043231</v>
      </c>
      <c r="F111" s="1" t="n">
        <v>35.274</v>
      </c>
      <c r="G111" s="1" t="n">
        <v>6</v>
      </c>
      <c r="H111" s="4" t="b">
        <f aca="false">AND(E111&lt;&gt;"",F111&lt;=100,G111&gt;=2)</f>
        <v>1</v>
      </c>
    </row>
    <row r="112" customFormat="false" ht="15" hidden="false" customHeight="false" outlineLevel="0" collapsed="false">
      <c r="A112" s="1" t="s">
        <v>99</v>
      </c>
      <c r="B112" s="1" t="n">
        <f aca="false">VALUE(LEFT(A112,4))</f>
        <v>2023</v>
      </c>
      <c r="C112" s="1" t="n">
        <f aca="false">VALUE(RIGHT(A112,2))</f>
        <v>8</v>
      </c>
      <c r="D112" s="1" t="s">
        <v>43</v>
      </c>
      <c r="E112" s="1" t="n">
        <v>0.010339</v>
      </c>
      <c r="F112" s="1" t="n">
        <v>14.65</v>
      </c>
      <c r="G112" s="1" t="n">
        <v>9</v>
      </c>
      <c r="H112" s="4" t="b">
        <f aca="false">AND(E112&lt;&gt;"",F112&lt;=100,G112&gt;=2)</f>
        <v>1</v>
      </c>
    </row>
    <row r="113" customFormat="false" ht="15" hidden="false" customHeight="false" outlineLevel="0" collapsed="false">
      <c r="A113" s="1" t="s">
        <v>99</v>
      </c>
      <c r="B113" s="1" t="n">
        <f aca="false">VALUE(LEFT(A113,4))</f>
        <v>2023</v>
      </c>
      <c r="C113" s="1" t="n">
        <f aca="false">VALUE(RIGHT(A113,2))</f>
        <v>8</v>
      </c>
      <c r="D113" s="1" t="s">
        <v>44</v>
      </c>
      <c r="E113" s="1" t="n">
        <v>0.018648</v>
      </c>
      <c r="F113" s="1" t="n">
        <v>13.28</v>
      </c>
      <c r="G113" s="1" t="n">
        <v>9</v>
      </c>
      <c r="H113" s="4" t="b">
        <f aca="false">AND(E113&lt;&gt;"",F113&lt;=100,G113&gt;=2)</f>
        <v>1</v>
      </c>
    </row>
    <row r="114" customFormat="false" ht="15" hidden="false" customHeight="false" outlineLevel="0" collapsed="false">
      <c r="A114" s="1" t="s">
        <v>100</v>
      </c>
      <c r="B114" s="1" t="n">
        <f aca="false">VALUE(LEFT(A114,4))</f>
        <v>2023</v>
      </c>
      <c r="C114" s="1" t="n">
        <f aca="false">VALUE(RIGHT(A114,2))</f>
        <v>9</v>
      </c>
      <c r="D114" s="1" t="s">
        <v>43</v>
      </c>
      <c r="E114" s="1" t="n">
        <v>0.012883</v>
      </c>
      <c r="F114" s="1" t="n">
        <v>32.919</v>
      </c>
      <c r="G114" s="1" t="n">
        <v>9</v>
      </c>
      <c r="H114" s="4" t="b">
        <f aca="false">AND(E114&lt;&gt;"",F114&lt;=100,G114&gt;=2)</f>
        <v>1</v>
      </c>
    </row>
    <row r="115" customFormat="false" ht="15" hidden="false" customHeight="false" outlineLevel="0" collapsed="false">
      <c r="A115" s="1" t="s">
        <v>100</v>
      </c>
      <c r="B115" s="1" t="n">
        <f aca="false">VALUE(LEFT(A115,4))</f>
        <v>2023</v>
      </c>
      <c r="C115" s="1" t="n">
        <f aca="false">VALUE(RIGHT(A115,2))</f>
        <v>9</v>
      </c>
      <c r="D115" s="1" t="s">
        <v>44</v>
      </c>
      <c r="E115" s="1" t="n">
        <v>0.021427</v>
      </c>
      <c r="F115" s="1" t="n">
        <v>75.788</v>
      </c>
      <c r="G115" s="1" t="n">
        <v>9</v>
      </c>
      <c r="H115" s="4" t="b">
        <f aca="false">AND(E115&lt;&gt;"",F115&lt;=100,G115&gt;=2)</f>
        <v>1</v>
      </c>
    </row>
    <row r="116" customFormat="false" ht="15" hidden="false" customHeight="false" outlineLevel="0" collapsed="false">
      <c r="A116" s="1" t="s">
        <v>101</v>
      </c>
      <c r="B116" s="1" t="n">
        <f aca="false">VALUE(LEFT(A116,4))</f>
        <v>2023</v>
      </c>
      <c r="C116" s="1" t="n">
        <f aca="false">VALUE(RIGHT(A116,2))</f>
        <v>10</v>
      </c>
      <c r="D116" s="1" t="s">
        <v>43</v>
      </c>
      <c r="E116" s="1"/>
      <c r="F116" s="1"/>
      <c r="G116" s="1" t="n">
        <v>5</v>
      </c>
      <c r="H116" s="4" t="b">
        <f aca="false">AND(E116&lt;&gt;"",F116&lt;=100,G116&gt;=2)</f>
        <v>0</v>
      </c>
    </row>
    <row r="117" customFormat="false" ht="15" hidden="false" customHeight="false" outlineLevel="0" collapsed="false">
      <c r="A117" s="1" t="s">
        <v>101</v>
      </c>
      <c r="B117" s="1" t="n">
        <f aca="false">VALUE(LEFT(A117,4))</f>
        <v>2023</v>
      </c>
      <c r="C117" s="1" t="n">
        <f aca="false">VALUE(RIGHT(A117,2))</f>
        <v>10</v>
      </c>
      <c r="D117" s="1" t="s">
        <v>44</v>
      </c>
      <c r="E117" s="1" t="n">
        <v>0.032011</v>
      </c>
      <c r="F117" s="1" t="n">
        <v>81.07</v>
      </c>
      <c r="G117" s="1" t="n">
        <v>5</v>
      </c>
      <c r="H117" s="4" t="b">
        <f aca="false">AND(E117&lt;&gt;"",F117&lt;=100,G117&gt;=2)</f>
        <v>1</v>
      </c>
    </row>
    <row r="118" customFormat="false" ht="15" hidden="false" customHeight="false" outlineLevel="0" collapsed="false">
      <c r="A118" s="1" t="s">
        <v>102</v>
      </c>
      <c r="B118" s="1" t="n">
        <f aca="false">VALUE(LEFT(A118,4))</f>
        <v>2023</v>
      </c>
      <c r="C118" s="1" t="n">
        <f aca="false">VALUE(RIGHT(A118,2))</f>
        <v>11</v>
      </c>
      <c r="D118" s="1" t="s">
        <v>43</v>
      </c>
      <c r="E118" s="1" t="n">
        <v>0.068657</v>
      </c>
      <c r="F118" s="1" t="n">
        <v>7.793</v>
      </c>
      <c r="G118" s="1" t="n">
        <v>3</v>
      </c>
      <c r="H118" s="4" t="b">
        <f aca="false">AND(E118&lt;&gt;"",F118&lt;=100,G118&gt;=2)</f>
        <v>1</v>
      </c>
    </row>
    <row r="119" customFormat="false" ht="15" hidden="false" customHeight="false" outlineLevel="0" collapsed="false">
      <c r="A119" s="1" t="s">
        <v>102</v>
      </c>
      <c r="B119" s="1" t="n">
        <f aca="false">VALUE(LEFT(A119,4))</f>
        <v>2023</v>
      </c>
      <c r="C119" s="1" t="n">
        <f aca="false">VALUE(RIGHT(A119,2))</f>
        <v>11</v>
      </c>
      <c r="D119" s="1" t="s">
        <v>44</v>
      </c>
      <c r="E119" s="1" t="n">
        <v>0.024275</v>
      </c>
      <c r="F119" s="1" t="n">
        <v>15.328</v>
      </c>
      <c r="G119" s="1" t="n">
        <v>3</v>
      </c>
      <c r="H119" s="4" t="b">
        <f aca="false">AND(E119&lt;&gt;"",F119&lt;=100,G119&gt;=2)</f>
        <v>1</v>
      </c>
    </row>
    <row r="120" customFormat="false" ht="15" hidden="false" customHeight="false" outlineLevel="0" collapsed="false">
      <c r="A120" s="1" t="s">
        <v>103</v>
      </c>
      <c r="B120" s="1" t="n">
        <f aca="false">VALUE(LEFT(A120,4))</f>
        <v>2023</v>
      </c>
      <c r="C120" s="1" t="n">
        <f aca="false">VALUE(RIGHT(A120,2))</f>
        <v>12</v>
      </c>
      <c r="D120" s="1" t="s">
        <v>43</v>
      </c>
      <c r="E120" s="1"/>
      <c r="F120" s="1"/>
      <c r="G120" s="1" t="n">
        <v>3</v>
      </c>
      <c r="H120" s="4" t="b">
        <f aca="false">AND(E120&lt;&gt;"",F120&lt;=100,G120&gt;=2)</f>
        <v>0</v>
      </c>
    </row>
    <row r="121" customFormat="false" ht="15" hidden="false" customHeight="false" outlineLevel="0" collapsed="false">
      <c r="A121" s="1" t="s">
        <v>103</v>
      </c>
      <c r="B121" s="1" t="n">
        <f aca="false">VALUE(LEFT(A121,4))</f>
        <v>2023</v>
      </c>
      <c r="C121" s="1" t="n">
        <f aca="false">VALUE(RIGHT(A121,2))</f>
        <v>12</v>
      </c>
      <c r="D121" s="1" t="s">
        <v>44</v>
      </c>
      <c r="E121" s="1" t="n">
        <v>0.005148</v>
      </c>
      <c r="F121" s="1" t="n">
        <v>69.761</v>
      </c>
      <c r="G121" s="1" t="n">
        <v>3</v>
      </c>
      <c r="H121" s="4" t="b">
        <f aca="false">AND(E121&lt;&gt;"",F121&lt;=100,G121&gt;=2)</f>
        <v>1</v>
      </c>
    </row>
    <row r="122" customFormat="false" ht="15" hidden="false" customHeight="false" outlineLevel="0" collapsed="false">
      <c r="A122" s="1" t="s">
        <v>104</v>
      </c>
      <c r="B122" s="1" t="n">
        <f aca="false">VALUE(LEFT(A122,4))</f>
        <v>2024</v>
      </c>
      <c r="C122" s="1" t="n">
        <f aca="false">VALUE(RIGHT(A122,2))</f>
        <v>1</v>
      </c>
      <c r="D122" s="1" t="s">
        <v>43</v>
      </c>
      <c r="E122" s="1" t="n">
        <v>0.018586</v>
      </c>
      <c r="F122" s="1" t="n">
        <v>24.179</v>
      </c>
      <c r="G122" s="1" t="n">
        <v>8</v>
      </c>
      <c r="H122" s="4" t="b">
        <f aca="false">AND(E122&lt;&gt;"",F122&lt;=100,G122&gt;=2)</f>
        <v>1</v>
      </c>
    </row>
    <row r="123" customFormat="false" ht="15" hidden="false" customHeight="false" outlineLevel="0" collapsed="false">
      <c r="A123" s="1" t="s">
        <v>104</v>
      </c>
      <c r="B123" s="1" t="n">
        <f aca="false">VALUE(LEFT(A123,4))</f>
        <v>2024</v>
      </c>
      <c r="C123" s="1" t="n">
        <f aca="false">VALUE(RIGHT(A123,2))</f>
        <v>1</v>
      </c>
      <c r="D123" s="1" t="s">
        <v>44</v>
      </c>
      <c r="E123" s="1" t="n">
        <v>0.019283</v>
      </c>
      <c r="F123" s="1" t="n">
        <v>19.636</v>
      </c>
      <c r="G123" s="1" t="n">
        <v>8</v>
      </c>
      <c r="H123" s="4" t="b">
        <f aca="false">AND(E123&lt;&gt;"",F123&lt;=100,G123&gt;=2)</f>
        <v>1</v>
      </c>
    </row>
    <row r="124" customFormat="false" ht="15" hidden="false" customHeight="false" outlineLevel="0" collapsed="false">
      <c r="A124" s="1" t="s">
        <v>105</v>
      </c>
      <c r="B124" s="1" t="n">
        <f aca="false">VALUE(LEFT(A124,4))</f>
        <v>2024</v>
      </c>
      <c r="C124" s="1" t="n">
        <f aca="false">VALUE(RIGHT(A124,2))</f>
        <v>2</v>
      </c>
      <c r="D124" s="1" t="s">
        <v>43</v>
      </c>
      <c r="E124" s="1" t="n">
        <v>-0.024577</v>
      </c>
      <c r="F124" s="1" t="n">
        <v>13.985</v>
      </c>
      <c r="G124" s="1" t="n">
        <v>7</v>
      </c>
      <c r="H124" s="4" t="b">
        <f aca="false">AND(E124&lt;&gt;"",F124&lt;=100,G124&gt;=2)</f>
        <v>1</v>
      </c>
    </row>
    <row r="125" customFormat="false" ht="15" hidden="false" customHeight="false" outlineLevel="0" collapsed="false">
      <c r="A125" s="1" t="s">
        <v>105</v>
      </c>
      <c r="B125" s="1" t="n">
        <f aca="false">VALUE(LEFT(A125,4))</f>
        <v>2024</v>
      </c>
      <c r="C125" s="1" t="n">
        <f aca="false">VALUE(RIGHT(A125,2))</f>
        <v>2</v>
      </c>
      <c r="D125" s="1" t="s">
        <v>44</v>
      </c>
      <c r="E125" s="1" t="n">
        <v>0.012917</v>
      </c>
      <c r="F125" s="1" t="n">
        <v>25.801</v>
      </c>
      <c r="G125" s="1" t="n">
        <v>7</v>
      </c>
      <c r="H125" s="4" t="b">
        <f aca="false">AND(E125&lt;&gt;"",F125&lt;=100,G125&gt;=2)</f>
        <v>1</v>
      </c>
    </row>
    <row r="126" customFormat="false" ht="15" hidden="false" customHeight="false" outlineLevel="0" collapsed="false">
      <c r="A126" s="1" t="s">
        <v>106</v>
      </c>
      <c r="B126" s="1" t="n">
        <f aca="false">VALUE(LEFT(A126,4))</f>
        <v>2024</v>
      </c>
      <c r="C126" s="1" t="n">
        <f aca="false">VALUE(RIGHT(A126,2))</f>
        <v>3</v>
      </c>
      <c r="D126" s="1" t="s">
        <v>43</v>
      </c>
      <c r="E126" s="1" t="n">
        <v>0.037898</v>
      </c>
      <c r="F126" s="1" t="n">
        <v>26.174</v>
      </c>
      <c r="G126" s="1" t="n">
        <v>11</v>
      </c>
      <c r="H126" s="4" t="b">
        <f aca="false">AND(E126&lt;&gt;"",F126&lt;=100,G126&gt;=2)</f>
        <v>1</v>
      </c>
    </row>
    <row r="127" customFormat="false" ht="15" hidden="false" customHeight="false" outlineLevel="0" collapsed="false">
      <c r="A127" s="1" t="s">
        <v>106</v>
      </c>
      <c r="B127" s="1" t="n">
        <f aca="false">VALUE(LEFT(A127,4))</f>
        <v>2024</v>
      </c>
      <c r="C127" s="1" t="n">
        <f aca="false">VALUE(RIGHT(A127,2))</f>
        <v>3</v>
      </c>
      <c r="D127" s="1" t="s">
        <v>44</v>
      </c>
      <c r="E127" s="1" t="n">
        <v>0.0161</v>
      </c>
      <c r="F127" s="1" t="n">
        <v>32.357</v>
      </c>
      <c r="G127" s="1" t="n">
        <v>11</v>
      </c>
      <c r="H127" s="4" t="b">
        <f aca="false">AND(E127&lt;&gt;"",F127&lt;=100,G127&gt;=2)</f>
        <v>1</v>
      </c>
    </row>
    <row r="128" customFormat="false" ht="15" hidden="false" customHeight="false" outlineLevel="0" collapsed="false">
      <c r="A128" s="1" t="s">
        <v>107</v>
      </c>
      <c r="B128" s="1" t="n">
        <f aca="false">VALUE(LEFT(A128,4))</f>
        <v>2024</v>
      </c>
      <c r="C128" s="1" t="n">
        <f aca="false">VALUE(RIGHT(A128,2))</f>
        <v>4</v>
      </c>
      <c r="D128" s="1" t="s">
        <v>43</v>
      </c>
      <c r="E128" s="1" t="n">
        <v>0.026271</v>
      </c>
      <c r="F128" s="1" t="n">
        <v>20.313</v>
      </c>
      <c r="G128" s="1" t="n">
        <v>3</v>
      </c>
      <c r="H128" s="4" t="b">
        <f aca="false">AND(E128&lt;&gt;"",F128&lt;=100,G128&gt;=2)</f>
        <v>1</v>
      </c>
    </row>
    <row r="129" customFormat="false" ht="15" hidden="false" customHeight="false" outlineLevel="0" collapsed="false">
      <c r="A129" s="1" t="s">
        <v>107</v>
      </c>
      <c r="B129" s="1" t="n">
        <f aca="false">VALUE(LEFT(A129,4))</f>
        <v>2024</v>
      </c>
      <c r="C129" s="1" t="n">
        <f aca="false">VALUE(RIGHT(A129,2))</f>
        <v>4</v>
      </c>
      <c r="D129" s="1" t="s">
        <v>44</v>
      </c>
      <c r="E129" s="1" t="n">
        <v>0.034097</v>
      </c>
      <c r="F129" s="1" t="n">
        <v>74.546</v>
      </c>
      <c r="G129" s="1" t="n">
        <v>3</v>
      </c>
      <c r="H129" s="4" t="b">
        <f aca="false">AND(E129&lt;&gt;"",F129&lt;=100,G129&gt;=2)</f>
        <v>1</v>
      </c>
    </row>
    <row r="130" customFormat="false" ht="15" hidden="false" customHeight="false" outlineLevel="0" collapsed="false">
      <c r="A130" s="1" t="s">
        <v>108</v>
      </c>
      <c r="B130" s="1" t="n">
        <f aca="false">VALUE(LEFT(A130,4))</f>
        <v>2024</v>
      </c>
      <c r="C130" s="1" t="n">
        <f aca="false">VALUE(RIGHT(A130,2))</f>
        <v>5</v>
      </c>
      <c r="D130" s="1" t="s">
        <v>43</v>
      </c>
      <c r="E130" s="1" t="n">
        <v>0.003245</v>
      </c>
      <c r="F130" s="1" t="n">
        <v>9.127</v>
      </c>
      <c r="G130" s="1" t="n">
        <v>4</v>
      </c>
      <c r="H130" s="4" t="b">
        <f aca="false">AND(E130&lt;&gt;"",F130&lt;=100,G130&gt;=2)</f>
        <v>1</v>
      </c>
    </row>
    <row r="131" customFormat="false" ht="15" hidden="false" customHeight="false" outlineLevel="0" collapsed="false">
      <c r="A131" s="1" t="s">
        <v>108</v>
      </c>
      <c r="B131" s="1" t="n">
        <f aca="false">VALUE(LEFT(A131,4))</f>
        <v>2024</v>
      </c>
      <c r="C131" s="1" t="n">
        <f aca="false">VALUE(RIGHT(A131,2))</f>
        <v>5</v>
      </c>
      <c r="D131" s="1" t="s">
        <v>44</v>
      </c>
      <c r="E131" s="1" t="n">
        <v>0.027352</v>
      </c>
      <c r="F131" s="1" t="n">
        <v>8.531</v>
      </c>
      <c r="G131" s="1" t="n">
        <v>4</v>
      </c>
      <c r="H131" s="4" t="b">
        <f aca="false">AND(E131&lt;&gt;"",F131&lt;=100,G131&gt;=2)</f>
        <v>1</v>
      </c>
    </row>
    <row r="132" customFormat="false" ht="15" hidden="false" customHeight="false" outlineLevel="0" collapsed="false">
      <c r="A132" s="1" t="s">
        <v>109</v>
      </c>
      <c r="B132" s="1" t="n">
        <f aca="false">VALUE(LEFT(A132,4))</f>
        <v>2024</v>
      </c>
      <c r="C132" s="1" t="n">
        <f aca="false">VALUE(RIGHT(A132,2))</f>
        <v>6</v>
      </c>
      <c r="D132" s="1" t="s">
        <v>43</v>
      </c>
      <c r="E132" s="1" t="n">
        <v>0.059819</v>
      </c>
      <c r="F132" s="1" t="n">
        <v>8.014</v>
      </c>
      <c r="G132" s="1" t="n">
        <v>13</v>
      </c>
      <c r="H132" s="4" t="b">
        <f aca="false">AND(E132&lt;&gt;"",F132&lt;=100,G132&gt;=2)</f>
        <v>1</v>
      </c>
    </row>
    <row r="133" customFormat="false" ht="15" hidden="false" customHeight="false" outlineLevel="0" collapsed="false">
      <c r="A133" s="1" t="s">
        <v>109</v>
      </c>
      <c r="B133" s="1" t="n">
        <f aca="false">VALUE(LEFT(A133,4))</f>
        <v>2024</v>
      </c>
      <c r="C133" s="1" t="n">
        <f aca="false">VALUE(RIGHT(A133,2))</f>
        <v>6</v>
      </c>
      <c r="D133" s="1" t="s">
        <v>44</v>
      </c>
      <c r="E133" s="1" t="n">
        <v>0.025824</v>
      </c>
      <c r="F133" s="1" t="n">
        <v>11.468</v>
      </c>
      <c r="G133" s="1" t="n">
        <v>13</v>
      </c>
      <c r="H133" s="4" t="b">
        <f aca="false">AND(E133&lt;&gt;"",F133&lt;=100,G133&gt;=2)</f>
        <v>1</v>
      </c>
    </row>
    <row r="134" customFormat="false" ht="15" hidden="false" customHeight="false" outlineLevel="0" collapsed="false">
      <c r="A134" s="1" t="s">
        <v>110</v>
      </c>
      <c r="B134" s="1" t="n">
        <f aca="false">VALUE(LEFT(A134,4))</f>
        <v>2024</v>
      </c>
      <c r="C134" s="1" t="n">
        <f aca="false">VALUE(RIGHT(A134,2))</f>
        <v>7</v>
      </c>
      <c r="D134" s="1" t="s">
        <v>43</v>
      </c>
      <c r="E134" s="1" t="n">
        <v>0.029754</v>
      </c>
      <c r="F134" s="1" t="n">
        <v>28.394</v>
      </c>
      <c r="G134" s="1" t="n">
        <v>5</v>
      </c>
      <c r="H134" s="4" t="b">
        <f aca="false">AND(E134&lt;&gt;"",F134&lt;=100,G134&gt;=2)</f>
        <v>1</v>
      </c>
    </row>
    <row r="135" customFormat="false" ht="15" hidden="false" customHeight="false" outlineLevel="0" collapsed="false">
      <c r="A135" s="1" t="s">
        <v>110</v>
      </c>
      <c r="B135" s="1" t="n">
        <f aca="false">VALUE(LEFT(A135,4))</f>
        <v>2024</v>
      </c>
      <c r="C135" s="1" t="n">
        <f aca="false">VALUE(RIGHT(A135,2))</f>
        <v>7</v>
      </c>
      <c r="D135" s="1" t="s">
        <v>44</v>
      </c>
      <c r="E135" s="1" t="n">
        <v>0.03466</v>
      </c>
      <c r="F135" s="1" t="n">
        <v>10.923</v>
      </c>
      <c r="G135" s="1" t="n">
        <v>5</v>
      </c>
      <c r="H135" s="4" t="b">
        <f aca="false">AND(E135&lt;&gt;"",F135&lt;=100,G135&gt;=2)</f>
        <v>1</v>
      </c>
    </row>
    <row r="136" customFormat="false" ht="15" hidden="false" customHeight="false" outlineLevel="0" collapsed="false">
      <c r="A136" s="1" t="s">
        <v>111</v>
      </c>
      <c r="B136" s="1" t="n">
        <f aca="false">VALUE(LEFT(A136,4))</f>
        <v>2024</v>
      </c>
      <c r="C136" s="1" t="n">
        <f aca="false">VALUE(RIGHT(A136,2))</f>
        <v>8</v>
      </c>
      <c r="D136" s="1" t="s">
        <v>43</v>
      </c>
      <c r="E136" s="1" t="n">
        <v>0.053795</v>
      </c>
      <c r="F136" s="1" t="n">
        <v>22.782</v>
      </c>
      <c r="G136" s="1" t="n">
        <v>3</v>
      </c>
      <c r="H136" s="4" t="b">
        <f aca="false">AND(E136&lt;&gt;"",F136&lt;=100,G136&gt;=2)</f>
        <v>1</v>
      </c>
    </row>
    <row r="137" customFormat="false" ht="15" hidden="false" customHeight="false" outlineLevel="0" collapsed="false">
      <c r="A137" s="1" t="s">
        <v>111</v>
      </c>
      <c r="B137" s="1" t="n">
        <f aca="false">VALUE(LEFT(A137,4))</f>
        <v>2024</v>
      </c>
      <c r="C137" s="1" t="n">
        <f aca="false">VALUE(RIGHT(A137,2))</f>
        <v>8</v>
      </c>
      <c r="D137" s="1" t="s">
        <v>44</v>
      </c>
      <c r="E137" s="1" t="n">
        <v>0.032853</v>
      </c>
      <c r="F137" s="1" t="n">
        <v>24.073</v>
      </c>
      <c r="G137" s="1" t="n">
        <v>3</v>
      </c>
      <c r="H137" s="4" t="b">
        <f aca="false">AND(E137&lt;&gt;"",F137&lt;=100,G137&gt;=2)</f>
        <v>1</v>
      </c>
    </row>
    <row r="138" customFormat="false" ht="15" hidden="false" customHeight="false" outlineLevel="0" collapsed="false">
      <c r="A138" s="1" t="s">
        <v>112</v>
      </c>
      <c r="B138" s="1" t="n">
        <f aca="false">VALUE(LEFT(A138,4))</f>
        <v>2024</v>
      </c>
      <c r="C138" s="1" t="n">
        <f aca="false">VALUE(RIGHT(A138,2))</f>
        <v>9</v>
      </c>
      <c r="D138" s="1" t="s">
        <v>43</v>
      </c>
      <c r="E138" s="1" t="n">
        <v>0.040984</v>
      </c>
      <c r="F138" s="1" t="n">
        <v>91.156</v>
      </c>
      <c r="G138" s="1" t="n">
        <v>7</v>
      </c>
      <c r="H138" s="4" t="b">
        <f aca="false">AND(E138&lt;&gt;"",F138&lt;=100,G138&gt;=2)</f>
        <v>1</v>
      </c>
    </row>
    <row r="139" customFormat="false" ht="15" hidden="false" customHeight="false" outlineLevel="0" collapsed="false">
      <c r="A139" s="1" t="s">
        <v>112</v>
      </c>
      <c r="B139" s="1" t="n">
        <f aca="false">VALUE(LEFT(A139,4))</f>
        <v>2024</v>
      </c>
      <c r="C139" s="1" t="n">
        <f aca="false">VALUE(RIGHT(A139,2))</f>
        <v>9</v>
      </c>
      <c r="D139" s="1" t="s">
        <v>44</v>
      </c>
      <c r="E139" s="1" t="n">
        <v>0.06162</v>
      </c>
      <c r="F139" s="1" t="n">
        <v>28.349</v>
      </c>
      <c r="G139" s="1" t="n">
        <v>7</v>
      </c>
      <c r="H139" s="4" t="b">
        <f aca="false">AND(E139&lt;&gt;"",F139&lt;=100,G139&gt;=2)</f>
        <v>1</v>
      </c>
    </row>
    <row r="140" customFormat="false" ht="15" hidden="false" customHeight="false" outlineLevel="0" collapsed="false">
      <c r="A140" s="1" t="s">
        <v>113</v>
      </c>
      <c r="B140" s="1" t="n">
        <f aca="false">VALUE(LEFT(A140,4))</f>
        <v>2024</v>
      </c>
      <c r="C140" s="1" t="n">
        <f aca="false">VALUE(RIGHT(A140,2))</f>
        <v>10</v>
      </c>
      <c r="D140" s="1" t="s">
        <v>43</v>
      </c>
      <c r="E140" s="1" t="n">
        <v>-0.010955</v>
      </c>
      <c r="F140" s="1" t="n">
        <v>14.706</v>
      </c>
      <c r="G140" s="1" t="n">
        <v>8</v>
      </c>
      <c r="H140" s="4" t="b">
        <f aca="false">AND(E140&lt;&gt;"",F140&lt;=100,G140&gt;=2)</f>
        <v>1</v>
      </c>
    </row>
    <row r="141" customFormat="false" ht="15" hidden="false" customHeight="false" outlineLevel="0" collapsed="false">
      <c r="A141" s="1" t="s">
        <v>113</v>
      </c>
      <c r="B141" s="1" t="n">
        <f aca="false">VALUE(LEFT(A141,4))</f>
        <v>2024</v>
      </c>
      <c r="C141" s="1" t="n">
        <f aca="false">VALUE(RIGHT(A141,2))</f>
        <v>10</v>
      </c>
      <c r="D141" s="1" t="s">
        <v>44</v>
      </c>
      <c r="E141" s="1" t="n">
        <v>0.024705</v>
      </c>
      <c r="F141" s="1" t="n">
        <v>67.517</v>
      </c>
      <c r="G141" s="1" t="n">
        <v>8</v>
      </c>
      <c r="H141" s="4" t="b">
        <f aca="false">AND(E141&lt;&gt;"",F141&lt;=100,G141&gt;=2)</f>
        <v>1</v>
      </c>
    </row>
    <row r="142" customFormat="false" ht="15" hidden="false" customHeight="false" outlineLevel="0" collapsed="false">
      <c r="A142" s="1" t="s">
        <v>114</v>
      </c>
      <c r="B142" s="1" t="n">
        <f aca="false">VALUE(LEFT(A142,4))</f>
        <v>2024</v>
      </c>
      <c r="C142" s="1" t="n">
        <f aca="false">VALUE(RIGHT(A142,2))</f>
        <v>11</v>
      </c>
      <c r="D142" s="1" t="s">
        <v>43</v>
      </c>
      <c r="E142" s="1" t="n">
        <v>0.04891</v>
      </c>
      <c r="F142" s="1" t="n">
        <v>23.045</v>
      </c>
      <c r="G142" s="1" t="n">
        <v>2</v>
      </c>
      <c r="H142" s="4" t="b">
        <f aca="false">AND(E142&lt;&gt;"",F142&lt;=100,G142&gt;=2)</f>
        <v>1</v>
      </c>
    </row>
    <row r="143" customFormat="false" ht="15" hidden="false" customHeight="false" outlineLevel="0" collapsed="false">
      <c r="A143" s="1" t="s">
        <v>114</v>
      </c>
      <c r="B143" s="1" t="n">
        <f aca="false">VALUE(LEFT(A143,4))</f>
        <v>2024</v>
      </c>
      <c r="C143" s="1" t="n">
        <f aca="false">VALUE(RIGHT(A143,2))</f>
        <v>11</v>
      </c>
      <c r="D143" s="1" t="s">
        <v>44</v>
      </c>
      <c r="E143" s="1" t="n">
        <v>0.037282</v>
      </c>
      <c r="F143" s="1" t="n">
        <v>53.355</v>
      </c>
      <c r="G143" s="1" t="n">
        <v>2</v>
      </c>
      <c r="H143" s="4" t="b">
        <f aca="false">AND(E143&lt;&gt;"",F143&lt;=100,G143&gt;=2)</f>
        <v>1</v>
      </c>
    </row>
    <row r="144" customFormat="false" ht="15" hidden="false" customHeight="false" outlineLevel="0" collapsed="false">
      <c r="A144" s="1" t="s">
        <v>115</v>
      </c>
      <c r="B144" s="1" t="n">
        <f aca="false">VALUE(LEFT(A144,4))</f>
        <v>2024</v>
      </c>
      <c r="C144" s="1" t="n">
        <f aca="false">VALUE(RIGHT(A144,2))</f>
        <v>12</v>
      </c>
      <c r="D144" s="1" t="s">
        <v>43</v>
      </c>
      <c r="E144" s="1" t="n">
        <v>0.050187</v>
      </c>
      <c r="F144" s="1" t="n">
        <v>11.737</v>
      </c>
      <c r="G144" s="1" t="n">
        <v>12</v>
      </c>
      <c r="H144" s="4" t="b">
        <f aca="false">AND(E144&lt;&gt;"",F144&lt;=100,G144&gt;=2)</f>
        <v>1</v>
      </c>
    </row>
    <row r="145" customFormat="false" ht="15" hidden="false" customHeight="false" outlineLevel="0" collapsed="false">
      <c r="A145" s="1" t="s">
        <v>115</v>
      </c>
      <c r="B145" s="1" t="n">
        <f aca="false">VALUE(LEFT(A145,4))</f>
        <v>2024</v>
      </c>
      <c r="C145" s="1" t="n">
        <f aca="false">VALUE(RIGHT(A145,2))</f>
        <v>12</v>
      </c>
      <c r="D145" s="1" t="s">
        <v>44</v>
      </c>
      <c r="E145" s="1" t="n">
        <v>0.009054</v>
      </c>
      <c r="F145" s="1" t="n">
        <v>30.98</v>
      </c>
      <c r="G145" s="1" t="n">
        <v>12</v>
      </c>
      <c r="H145" s="4" t="b">
        <f aca="false">AND(E145&lt;&gt;"",F145&lt;=100,G145&gt;=2)</f>
        <v>1</v>
      </c>
    </row>
    <row r="146" customFormat="false" ht="15" hidden="false" customHeight="false" outlineLevel="0" collapsed="false">
      <c r="A146" s="1" t="s">
        <v>116</v>
      </c>
      <c r="B146" s="1" t="n">
        <f aca="false">VALUE(LEFT(A146,4))</f>
        <v>2025</v>
      </c>
      <c r="C146" s="1" t="n">
        <f aca="false">VALUE(RIGHT(A146,2))</f>
        <v>1</v>
      </c>
      <c r="D146" s="1" t="s">
        <v>43</v>
      </c>
      <c r="E146" s="1"/>
      <c r="F146" s="1"/>
      <c r="G146" s="1" t="n">
        <v>4</v>
      </c>
      <c r="H146" s="4" t="b">
        <f aca="false">AND(E146&lt;&gt;"",F146&lt;=100,G146&gt;=2)</f>
        <v>0</v>
      </c>
    </row>
    <row r="147" customFormat="false" ht="15" hidden="false" customHeight="false" outlineLevel="0" collapsed="false">
      <c r="A147" s="1" t="s">
        <v>116</v>
      </c>
      <c r="B147" s="1" t="n">
        <f aca="false">VALUE(LEFT(A147,4))</f>
        <v>2025</v>
      </c>
      <c r="C147" s="1" t="n">
        <f aca="false">VALUE(RIGHT(A147,2))</f>
        <v>1</v>
      </c>
      <c r="D147" s="1" t="s">
        <v>44</v>
      </c>
      <c r="E147" s="1" t="n">
        <v>0.033956</v>
      </c>
      <c r="F147" s="1" t="n">
        <v>61.906</v>
      </c>
      <c r="G147" s="1" t="n">
        <v>4</v>
      </c>
      <c r="H147" s="4" t="b">
        <f aca="false">AND(E147&lt;&gt;"",F147&lt;=100,G147&gt;=2)</f>
        <v>1</v>
      </c>
    </row>
    <row r="148" customFormat="false" ht="15" hidden="false" customHeight="false" outlineLevel="0" collapsed="false">
      <c r="A148" s="1" t="s">
        <v>117</v>
      </c>
      <c r="B148" s="1" t="n">
        <f aca="false">VALUE(LEFT(A148,4))</f>
        <v>2025</v>
      </c>
      <c r="C148" s="1" t="n">
        <f aca="false">VALUE(RIGHT(A148,2))</f>
        <v>2</v>
      </c>
      <c r="D148" s="1" t="s">
        <v>43</v>
      </c>
      <c r="E148" s="1"/>
      <c r="F148" s="1"/>
      <c r="G148" s="1" t="n">
        <v>0</v>
      </c>
      <c r="H148" s="4" t="b">
        <f aca="false">AND(E148&lt;&gt;"",F148&lt;=100,G148&gt;=2)</f>
        <v>0</v>
      </c>
    </row>
    <row r="149" customFormat="false" ht="15" hidden="false" customHeight="false" outlineLevel="0" collapsed="false">
      <c r="A149" s="1" t="s">
        <v>117</v>
      </c>
      <c r="B149" s="1" t="n">
        <f aca="false">VALUE(LEFT(A149,4))</f>
        <v>2025</v>
      </c>
      <c r="C149" s="1" t="n">
        <f aca="false">VALUE(RIGHT(A149,2))</f>
        <v>2</v>
      </c>
      <c r="D149" s="1" t="s">
        <v>44</v>
      </c>
      <c r="E149" s="1"/>
      <c r="F149" s="1"/>
      <c r="G149" s="1" t="n">
        <v>0</v>
      </c>
      <c r="H149" s="4" t="b">
        <f aca="false">AND(E149&lt;&gt;"",F149&lt;=100,G149&gt;=2)</f>
        <v>0</v>
      </c>
    </row>
    <row r="150" customFormat="false" ht="15" hidden="false" customHeight="false" outlineLevel="0" collapsed="false">
      <c r="A150" s="1" t="s">
        <v>118</v>
      </c>
      <c r="B150" s="1" t="n">
        <f aca="false">VALUE(LEFT(A150,4))</f>
        <v>2025</v>
      </c>
      <c r="C150" s="1" t="n">
        <f aca="false">VALUE(RIGHT(A150,2))</f>
        <v>3</v>
      </c>
      <c r="D150" s="1" t="s">
        <v>43</v>
      </c>
      <c r="E150" s="1"/>
      <c r="F150" s="1"/>
      <c r="G150" s="1" t="n">
        <v>7</v>
      </c>
      <c r="H150" s="4" t="b">
        <f aca="false">AND(E150&lt;&gt;"",F150&lt;=100,G150&gt;=2)</f>
        <v>0</v>
      </c>
    </row>
    <row r="151" customFormat="false" ht="15" hidden="false" customHeight="false" outlineLevel="0" collapsed="false">
      <c r="A151" s="1" t="s">
        <v>118</v>
      </c>
      <c r="B151" s="1" t="n">
        <f aca="false">VALUE(LEFT(A151,4))</f>
        <v>2025</v>
      </c>
      <c r="C151" s="1" t="n">
        <f aca="false">VALUE(RIGHT(A151,2))</f>
        <v>3</v>
      </c>
      <c r="D151" s="1" t="s">
        <v>44</v>
      </c>
      <c r="E151" s="1" t="n">
        <v>0.02199</v>
      </c>
      <c r="F151" s="1" t="n">
        <v>52.795</v>
      </c>
      <c r="G151" s="1" t="n">
        <v>7</v>
      </c>
      <c r="H151" s="4" t="b">
        <f aca="false">AND(E151&lt;&gt;"",F151&lt;=100,G151&gt;=2)</f>
        <v>1</v>
      </c>
    </row>
    <row r="152" customFormat="false" ht="15" hidden="false" customHeight="false" outlineLevel="0" collapsed="false">
      <c r="A152" s="1" t="s">
        <v>119</v>
      </c>
      <c r="B152" s="1" t="n">
        <f aca="false">VALUE(LEFT(A152,4))</f>
        <v>2025</v>
      </c>
      <c r="C152" s="1" t="n">
        <f aca="false">VALUE(RIGHT(A152,2))</f>
        <v>4</v>
      </c>
      <c r="D152" s="1" t="s">
        <v>43</v>
      </c>
      <c r="E152" s="1" t="n">
        <v>0.044542</v>
      </c>
      <c r="F152" s="1" t="n">
        <v>14.114</v>
      </c>
      <c r="G152" s="1" t="n">
        <v>8</v>
      </c>
      <c r="H152" s="4" t="b">
        <f aca="false">AND(E152&lt;&gt;"",F152&lt;=100,G152&gt;=2)</f>
        <v>1</v>
      </c>
    </row>
    <row r="153" customFormat="false" ht="15" hidden="false" customHeight="false" outlineLevel="0" collapsed="false">
      <c r="A153" s="1" t="s">
        <v>119</v>
      </c>
      <c r="B153" s="1" t="n">
        <f aca="false">VALUE(LEFT(A153,4))</f>
        <v>2025</v>
      </c>
      <c r="C153" s="1" t="n">
        <f aca="false">VALUE(RIGHT(A153,2))</f>
        <v>4</v>
      </c>
      <c r="D153" s="1" t="s">
        <v>44</v>
      </c>
      <c r="E153" s="1" t="n">
        <v>0.005534</v>
      </c>
      <c r="F153" s="1" t="n">
        <v>30.463</v>
      </c>
      <c r="G153" s="1" t="n">
        <v>8</v>
      </c>
      <c r="H153" s="4" t="b">
        <f aca="false">AND(E153&lt;&gt;"",F153&lt;=100,G153&gt;=2)</f>
        <v>1</v>
      </c>
    </row>
    <row r="154" customFormat="false" ht="15" hidden="false" customHeight="false" outlineLevel="0" collapsed="false">
      <c r="A154" s="1" t="s">
        <v>120</v>
      </c>
      <c r="B154" s="1" t="n">
        <f aca="false">VALUE(LEFT(A154,4))</f>
        <v>2025</v>
      </c>
      <c r="C154" s="1" t="n">
        <f aca="false">VALUE(RIGHT(A154,2))</f>
        <v>5</v>
      </c>
      <c r="D154" s="1" t="s">
        <v>43</v>
      </c>
      <c r="E154" s="1" t="n">
        <v>0.063005</v>
      </c>
      <c r="F154" s="1" t="n">
        <v>130.936</v>
      </c>
      <c r="G154" s="1" t="n">
        <v>1</v>
      </c>
      <c r="H154" s="4" t="b">
        <f aca="false">AND(E154&lt;&gt;"",F154&lt;=100,G154&gt;=2)</f>
        <v>0</v>
      </c>
    </row>
    <row r="155" customFormat="false" ht="15" hidden="false" customHeight="false" outlineLevel="0" collapsed="false">
      <c r="A155" s="1" t="s">
        <v>120</v>
      </c>
      <c r="B155" s="1" t="n">
        <f aca="false">VALUE(LEFT(A155,4))</f>
        <v>2025</v>
      </c>
      <c r="C155" s="1" t="n">
        <f aca="false">VALUE(RIGHT(A155,2))</f>
        <v>5</v>
      </c>
      <c r="D155" s="1" t="s">
        <v>44</v>
      </c>
      <c r="E155" s="1" t="n">
        <v>0.053767</v>
      </c>
      <c r="F155" s="1" t="n">
        <v>18.799</v>
      </c>
      <c r="G155" s="1" t="n">
        <v>1</v>
      </c>
      <c r="H155" s="4" t="b">
        <f aca="false">AND(E155&lt;&gt;"",F155&lt;=100,G155&gt;=2)</f>
        <v>0</v>
      </c>
    </row>
    <row r="156" customFormat="false" ht="15" hidden="false" customHeight="false" outlineLevel="0" collapsed="false">
      <c r="A156" s="1" t="s">
        <v>121</v>
      </c>
      <c r="B156" s="1" t="n">
        <f aca="false">VALUE(LEFT(A156,4))</f>
        <v>2025</v>
      </c>
      <c r="C156" s="1" t="n">
        <f aca="false">VALUE(RIGHT(A156,2))</f>
        <v>6</v>
      </c>
      <c r="D156" s="1" t="s">
        <v>43</v>
      </c>
      <c r="E156" s="1" t="n">
        <v>0.055827</v>
      </c>
      <c r="F156" s="1" t="n">
        <v>57.942</v>
      </c>
      <c r="G156" s="1" t="n">
        <v>14</v>
      </c>
      <c r="H156" s="4" t="b">
        <f aca="false">AND(E156&lt;&gt;"",F156&lt;=100,G156&gt;=2)</f>
        <v>1</v>
      </c>
    </row>
    <row r="157" customFormat="false" ht="15" hidden="false" customHeight="false" outlineLevel="0" collapsed="false">
      <c r="A157" s="1" t="s">
        <v>121</v>
      </c>
      <c r="B157" s="1" t="n">
        <f aca="false">VALUE(LEFT(A157,4))</f>
        <v>2025</v>
      </c>
      <c r="C157" s="1" t="n">
        <f aca="false">VALUE(RIGHT(A157,2))</f>
        <v>6</v>
      </c>
      <c r="D157" s="1" t="s">
        <v>44</v>
      </c>
      <c r="E157" s="1" t="n">
        <v>0.042721</v>
      </c>
      <c r="F157" s="1" t="n">
        <v>44.807</v>
      </c>
      <c r="G157" s="1" t="n">
        <v>14</v>
      </c>
      <c r="H157" s="4" t="b">
        <f aca="false">AND(E157&lt;&gt;"",F157&lt;=100,G157&gt;=2)</f>
        <v>1</v>
      </c>
    </row>
    <row r="158" customFormat="false" ht="15" hidden="false" customHeight="false" outlineLevel="0" collapsed="false">
      <c r="A158" s="1" t="s">
        <v>122</v>
      </c>
      <c r="B158" s="1" t="n">
        <f aca="false">VALUE(LEFT(A158,4))</f>
        <v>2025</v>
      </c>
      <c r="C158" s="1" t="n">
        <f aca="false">VALUE(RIGHT(A158,2))</f>
        <v>7</v>
      </c>
      <c r="D158" s="1" t="s">
        <v>43</v>
      </c>
      <c r="E158" s="1" t="n">
        <v>0.032754</v>
      </c>
      <c r="F158" s="1" t="n">
        <v>47.406</v>
      </c>
      <c r="G158" s="1" t="n">
        <v>15</v>
      </c>
      <c r="H158" s="4" t="b">
        <f aca="false">AND(E158&lt;&gt;"",F158&lt;=100,G158&gt;=2)</f>
        <v>1</v>
      </c>
    </row>
    <row r="159" customFormat="false" ht="15" hidden="false" customHeight="false" outlineLevel="0" collapsed="false">
      <c r="A159" s="1" t="s">
        <v>122</v>
      </c>
      <c r="B159" s="1" t="n">
        <f aca="false">VALUE(LEFT(A159,4))</f>
        <v>2025</v>
      </c>
      <c r="C159" s="1" t="n">
        <f aca="false">VALUE(RIGHT(A159,2))</f>
        <v>7</v>
      </c>
      <c r="D159" s="1" t="s">
        <v>44</v>
      </c>
      <c r="E159" s="1" t="n">
        <v>0.024193</v>
      </c>
      <c r="F159" s="1" t="n">
        <v>21.632</v>
      </c>
      <c r="G159" s="1" t="n">
        <v>15</v>
      </c>
      <c r="H159" s="4" t="b">
        <f aca="false">AND(E159&lt;&gt;"",F159&lt;=100,G159&gt;=2)</f>
        <v>1</v>
      </c>
    </row>
    <row r="160" customFormat="false" ht="15" hidden="false" customHeight="false" outlineLevel="0" collapsed="false">
      <c r="A160" s="1" t="s">
        <v>123</v>
      </c>
      <c r="B160" s="1" t="n">
        <f aca="false">VALUE(LEFT(A160,4))</f>
        <v>2025</v>
      </c>
      <c r="C160" s="1" t="n">
        <f aca="false">VALUE(RIGHT(A160,2))</f>
        <v>8</v>
      </c>
      <c r="D160" s="1" t="s">
        <v>43</v>
      </c>
      <c r="E160" s="1" t="n">
        <v>0.034187</v>
      </c>
      <c r="F160" s="1" t="n">
        <v>48.226</v>
      </c>
      <c r="G160" s="1" t="n">
        <v>11</v>
      </c>
      <c r="H160" s="4" t="b">
        <f aca="false">AND(E160&lt;&gt;"",F160&lt;=100,G160&gt;=2)</f>
        <v>1</v>
      </c>
    </row>
    <row r="161" customFormat="false" ht="15" hidden="false" customHeight="false" outlineLevel="0" collapsed="false">
      <c r="A161" s="1" t="s">
        <v>123</v>
      </c>
      <c r="B161" s="1" t="n">
        <f aca="false">VALUE(LEFT(A161,4))</f>
        <v>2025</v>
      </c>
      <c r="C161" s="1" t="n">
        <f aca="false">VALUE(RIGHT(A161,2))</f>
        <v>8</v>
      </c>
      <c r="D161" s="1" t="s">
        <v>44</v>
      </c>
      <c r="E161" s="1" t="n">
        <v>0.017154</v>
      </c>
      <c r="F161" s="1" t="n">
        <v>35.517</v>
      </c>
      <c r="G161" s="1" t="n">
        <v>11</v>
      </c>
      <c r="H161" s="4" t="b">
        <f aca="false">AND(E161&lt;&gt;"",F161&lt;=100,G161&gt;=2)</f>
        <v>1</v>
      </c>
    </row>
    <row r="162" customFormat="false" ht="15" hidden="false" customHeight="false" outlineLevel="0" collapsed="false">
      <c r="A162" s="1" t="s">
        <v>124</v>
      </c>
      <c r="B162" s="1" t="n">
        <f aca="false">VALUE(LEFT(A162,4))</f>
        <v>2025</v>
      </c>
      <c r="C162" s="1" t="n">
        <f aca="false">VALUE(RIGHT(A162,2))</f>
        <v>9</v>
      </c>
      <c r="D162" s="1" t="s">
        <v>43</v>
      </c>
      <c r="E162" s="1" t="n">
        <v>0.023231</v>
      </c>
      <c r="F162" s="1" t="n">
        <v>29.187</v>
      </c>
      <c r="G162" s="1" t="n">
        <v>2</v>
      </c>
      <c r="H162" s="4" t="b">
        <f aca="false">AND(E162&lt;&gt;"",F162&lt;=100,G162&gt;=2)</f>
        <v>1</v>
      </c>
    </row>
    <row r="163" customFormat="false" ht="15" hidden="false" customHeight="false" outlineLevel="0" collapsed="false">
      <c r="A163" s="1" t="s">
        <v>124</v>
      </c>
      <c r="B163" s="1" t="n">
        <f aca="false">VALUE(LEFT(A163,4))</f>
        <v>2025</v>
      </c>
      <c r="C163" s="1" t="n">
        <f aca="false">VALUE(RIGHT(A163,2))</f>
        <v>9</v>
      </c>
      <c r="D163" s="1" t="s">
        <v>44</v>
      </c>
      <c r="E163" s="1" t="n">
        <v>0.055312</v>
      </c>
      <c r="F163" s="1" t="n">
        <v>19.402</v>
      </c>
      <c r="G163" s="1" t="n">
        <v>2</v>
      </c>
      <c r="H163" s="4" t="b">
        <f aca="false">AND(E163&lt;&gt;"",F163&lt;=100,G163&gt;=2)</f>
        <v>1</v>
      </c>
    </row>
    <row r="164" customFormat="false" ht="15" hidden="false" customHeight="false" outlineLevel="0" collapsed="false">
      <c r="A164" s="1" t="s">
        <v>125</v>
      </c>
      <c r="B164" s="1" t="n">
        <f aca="false">VALUE(LEFT(A164,4))</f>
        <v>2025</v>
      </c>
      <c r="C164" s="1" t="n">
        <f aca="false">VALUE(RIGHT(A164,2))</f>
        <v>10</v>
      </c>
      <c r="D164" s="1" t="s">
        <v>43</v>
      </c>
      <c r="E164" s="1" t="n">
        <v>0.021144</v>
      </c>
      <c r="F164" s="1" t="n">
        <v>10.589</v>
      </c>
      <c r="G164" s="1" t="n">
        <v>8</v>
      </c>
      <c r="H164" s="4" t="b">
        <f aca="false">AND(E164&lt;&gt;"",F164&lt;=100,G164&gt;=2)</f>
        <v>1</v>
      </c>
    </row>
    <row r="165" customFormat="false" ht="15" hidden="false" customHeight="false" outlineLevel="0" collapsed="false">
      <c r="A165" s="1" t="s">
        <v>125</v>
      </c>
      <c r="B165" s="1" t="n">
        <f aca="false">VALUE(LEFT(A165,4))</f>
        <v>2025</v>
      </c>
      <c r="C165" s="1" t="n">
        <f aca="false">VALUE(RIGHT(A165,2))</f>
        <v>10</v>
      </c>
      <c r="D165" s="1" t="s">
        <v>44</v>
      </c>
      <c r="E165" s="1" t="n">
        <v>0.024452</v>
      </c>
      <c r="F165" s="1" t="n">
        <v>41.125</v>
      </c>
      <c r="G165" s="1" t="n">
        <v>8</v>
      </c>
      <c r="H165" s="4" t="b">
        <f aca="false">AND(E165&lt;&gt;"",F165&lt;=100,G165&gt;=2)</f>
        <v>1</v>
      </c>
    </row>
    <row r="166" customFormat="false" ht="15" hidden="false" customHeight="false" outlineLevel="0" collapsed="false">
      <c r="A166" s="1" t="s">
        <v>126</v>
      </c>
      <c r="B166" s="1" t="n">
        <f aca="false">VALUE(LEFT(A166,4))</f>
        <v>2025</v>
      </c>
      <c r="C166" s="1" t="n">
        <f aca="false">VALUE(RIGHT(A166,2))</f>
        <v>11</v>
      </c>
      <c r="D166" s="1" t="s">
        <v>43</v>
      </c>
      <c r="E166" s="1"/>
      <c r="F166" s="1"/>
      <c r="G166" s="1" t="n">
        <v>0</v>
      </c>
      <c r="H166" s="4" t="b">
        <f aca="false">AND(E166&lt;&gt;"",F166&lt;=100,G166&gt;=2)</f>
        <v>0</v>
      </c>
    </row>
    <row r="167" customFormat="false" ht="15" hidden="false" customHeight="false" outlineLevel="0" collapsed="false">
      <c r="A167" s="1" t="s">
        <v>126</v>
      </c>
      <c r="B167" s="1" t="n">
        <f aca="false">VALUE(LEFT(A167,4))</f>
        <v>2025</v>
      </c>
      <c r="C167" s="1" t="n">
        <f aca="false">VALUE(RIGHT(A167,2))</f>
        <v>11</v>
      </c>
      <c r="D167" s="1" t="s">
        <v>44</v>
      </c>
      <c r="E167" s="1"/>
      <c r="F167" s="1"/>
      <c r="G167" s="1" t="n">
        <v>0</v>
      </c>
      <c r="H167" s="4" t="b">
        <f aca="false">AND(E167&lt;&gt;"",F167&lt;=100,G167&gt;=2)</f>
        <v>0</v>
      </c>
    </row>
    <row r="168" customFormat="false" ht="15" hidden="false" customHeight="false" outlineLevel="0" collapsed="false">
      <c r="A168" s="1" t="s">
        <v>127</v>
      </c>
      <c r="B168" s="1" t="n">
        <f aca="false">VALUE(LEFT(A168,4))</f>
        <v>2025</v>
      </c>
      <c r="C168" s="1" t="n">
        <f aca="false">VALUE(RIGHT(A168,2))</f>
        <v>12</v>
      </c>
      <c r="D168" s="1" t="s">
        <v>43</v>
      </c>
      <c r="E168" s="1" t="n">
        <v>0.094397</v>
      </c>
      <c r="F168" s="1" t="n">
        <v>7.827</v>
      </c>
      <c r="G168" s="1" t="n">
        <v>9</v>
      </c>
      <c r="H168" s="4" t="b">
        <f aca="false">AND(E168&lt;&gt;"",F168&lt;=100,G168&gt;=2)</f>
        <v>1</v>
      </c>
    </row>
    <row r="169" customFormat="false" ht="15" hidden="false" customHeight="false" outlineLevel="0" collapsed="false">
      <c r="A169" s="1" t="s">
        <v>127</v>
      </c>
      <c r="B169" s="1" t="n">
        <f aca="false">VALUE(LEFT(A169,4))</f>
        <v>2025</v>
      </c>
      <c r="C169" s="1" t="n">
        <f aca="false">VALUE(RIGHT(A169,2))</f>
        <v>12</v>
      </c>
      <c r="D169" s="1" t="s">
        <v>44</v>
      </c>
      <c r="E169" s="1" t="n">
        <v>0.04577</v>
      </c>
      <c r="F169" s="1" t="n">
        <v>9.474</v>
      </c>
      <c r="G169" s="1" t="n">
        <v>9</v>
      </c>
      <c r="H169" s="4" t="b">
        <f aca="false">AND(E169&lt;&gt;"",F169&lt;=100,G169&gt;=2)</f>
        <v>1</v>
      </c>
    </row>
    <row r="170" customFormat="false" ht="15" hidden="false" customHeight="false" outlineLevel="0" collapsed="false">
      <c r="A170" s="1" t="s">
        <v>128</v>
      </c>
      <c r="B170" s="1" t="n">
        <f aca="false">VALUE(LEFT(A170,4))</f>
        <v>2026</v>
      </c>
      <c r="C170" s="1" t="n">
        <f aca="false">VALUE(RIGHT(A170,2))</f>
        <v>1</v>
      </c>
      <c r="D170" s="1" t="s">
        <v>43</v>
      </c>
      <c r="E170" s="1" t="n">
        <v>0.035619</v>
      </c>
      <c r="F170" s="1" t="n">
        <v>24.007</v>
      </c>
      <c r="G170" s="1" t="n">
        <v>7</v>
      </c>
      <c r="H170" s="4" t="b">
        <f aca="false">AND(E170&lt;&gt;"",F170&lt;=100,G170&gt;=2)</f>
        <v>1</v>
      </c>
    </row>
    <row r="171" customFormat="false" ht="15" hidden="false" customHeight="false" outlineLevel="0" collapsed="false">
      <c r="A171" s="1" t="s">
        <v>128</v>
      </c>
      <c r="B171" s="1" t="n">
        <f aca="false">VALUE(LEFT(A171,4))</f>
        <v>2026</v>
      </c>
      <c r="C171" s="1" t="n">
        <f aca="false">VALUE(RIGHT(A171,2))</f>
        <v>1</v>
      </c>
      <c r="D171" s="1" t="s">
        <v>44</v>
      </c>
      <c r="E171" s="1" t="n">
        <v>0.02344</v>
      </c>
      <c r="F171" s="1" t="n">
        <v>25.067</v>
      </c>
      <c r="G171" s="1" t="n">
        <v>7</v>
      </c>
      <c r="H171" s="4" t="b">
        <f aca="false">AND(E171&lt;&gt;"",F171&lt;=100,G171&gt;=2)</f>
        <v>1</v>
      </c>
    </row>
    <row r="172" customFormat="false" ht="15" hidden="false" customHeight="false" outlineLevel="0" collapsed="false">
      <c r="A172" s="1" t="s">
        <v>129</v>
      </c>
      <c r="B172" s="1" t="n">
        <f aca="false">VALUE(LEFT(A172,4))</f>
        <v>2026</v>
      </c>
      <c r="C172" s="1" t="n">
        <f aca="false">VALUE(RIGHT(A172,2))</f>
        <v>2</v>
      </c>
      <c r="D172" s="1" t="s">
        <v>43</v>
      </c>
      <c r="E172" s="1"/>
      <c r="F172" s="1"/>
      <c r="G172" s="1" t="n">
        <v>6</v>
      </c>
      <c r="H172" s="4" t="b">
        <f aca="false">AND(E172&lt;&gt;"",F172&lt;=100,G172&gt;=2)</f>
        <v>0</v>
      </c>
    </row>
    <row r="173" customFormat="false" ht="15" hidden="false" customHeight="false" outlineLevel="0" collapsed="false">
      <c r="A173" s="1" t="s">
        <v>129</v>
      </c>
      <c r="B173" s="1" t="n">
        <f aca="false">VALUE(LEFT(A173,4))</f>
        <v>2026</v>
      </c>
      <c r="C173" s="1" t="n">
        <f aca="false">VALUE(RIGHT(A173,2))</f>
        <v>2</v>
      </c>
      <c r="D173" s="1" t="s">
        <v>44</v>
      </c>
      <c r="E173" s="1" t="n">
        <v>-0.017403</v>
      </c>
      <c r="F173" s="1" t="n">
        <v>11.527</v>
      </c>
      <c r="G173" s="1" t="n">
        <v>6</v>
      </c>
      <c r="H173" s="4" t="b">
        <f aca="false">AND(E173&lt;&gt;"",F173&lt;=100,G173&gt;=2)</f>
        <v>1</v>
      </c>
    </row>
    <row r="174" customFormat="false" ht="15" hidden="false" customHeight="false" outlineLevel="0" collapsed="false">
      <c r="A174" s="1" t="s">
        <v>130</v>
      </c>
      <c r="B174" s="1" t="n">
        <f aca="false">VALUE(LEFT(A174,4))</f>
        <v>2026</v>
      </c>
      <c r="C174" s="1" t="n">
        <f aca="false">VALUE(RIGHT(A174,2))</f>
        <v>3</v>
      </c>
      <c r="D174" s="1" t="s">
        <v>43</v>
      </c>
      <c r="E174" s="1" t="n">
        <v>-0.005417</v>
      </c>
      <c r="F174" s="1" t="n">
        <v>30.252</v>
      </c>
      <c r="G174" s="1" t="n">
        <v>10</v>
      </c>
      <c r="H174" s="4" t="b">
        <f aca="false">AND(E174&lt;&gt;"",F174&lt;=100,G174&gt;=2)</f>
        <v>1</v>
      </c>
    </row>
    <row r="175" customFormat="false" ht="15" hidden="false" customHeight="false" outlineLevel="0" collapsed="false">
      <c r="A175" s="1" t="s">
        <v>130</v>
      </c>
      <c r="B175" s="1" t="n">
        <f aca="false">VALUE(LEFT(A175,4))</f>
        <v>2026</v>
      </c>
      <c r="C175" s="1" t="n">
        <f aca="false">VALUE(RIGHT(A175,2))</f>
        <v>3</v>
      </c>
      <c r="D175" s="1" t="s">
        <v>44</v>
      </c>
      <c r="E175" s="1" t="n">
        <v>0.008303</v>
      </c>
      <c r="F175" s="1" t="n">
        <v>34.021</v>
      </c>
      <c r="G175" s="1" t="n">
        <v>10</v>
      </c>
      <c r="H175" s="4" t="b">
        <f aca="false">AND(E175&lt;&gt;"",F175&lt;=100,G175&gt;=2)</f>
        <v>1</v>
      </c>
    </row>
    <row r="176" customFormat="false" ht="15" hidden="false" customHeight="false" outlineLevel="0" collapsed="false">
      <c r="A176" s="1" t="s">
        <v>131</v>
      </c>
      <c r="B176" s="1" t="n">
        <f aca="false">VALUE(LEFT(A176,4))</f>
        <v>2026</v>
      </c>
      <c r="C176" s="1" t="n">
        <f aca="false">VALUE(RIGHT(A176,2))</f>
        <v>4</v>
      </c>
      <c r="D176" s="1" t="s">
        <v>43</v>
      </c>
      <c r="E176" s="1" t="n">
        <v>0.044529</v>
      </c>
      <c r="F176" s="1" t="n">
        <v>18.489</v>
      </c>
      <c r="G176" s="1" t="n">
        <v>9</v>
      </c>
      <c r="H176" s="4" t="b">
        <f aca="false">AND(E176&lt;&gt;"",F176&lt;=100,G176&gt;=2)</f>
        <v>1</v>
      </c>
    </row>
    <row r="177" customFormat="false" ht="15" hidden="false" customHeight="false" outlineLevel="0" collapsed="false">
      <c r="A177" s="1" t="s">
        <v>131</v>
      </c>
      <c r="B177" s="1" t="n">
        <f aca="false">VALUE(LEFT(A177,4))</f>
        <v>2026</v>
      </c>
      <c r="C177" s="1" t="n">
        <f aca="false">VALUE(RIGHT(A177,2))</f>
        <v>4</v>
      </c>
      <c r="D177" s="1" t="s">
        <v>44</v>
      </c>
      <c r="E177" s="1" t="n">
        <v>0.035993</v>
      </c>
      <c r="F177" s="1" t="n">
        <v>32.363</v>
      </c>
      <c r="G177" s="1" t="n">
        <v>9</v>
      </c>
      <c r="H177" s="4" t="b">
        <f aca="false">AND(E177&lt;&gt;"",F177&lt;=100,G177&gt;=2)</f>
        <v>1</v>
      </c>
    </row>
    <row r="178" customFormat="false" ht="15" hidden="false" customHeight="false" outlineLevel="0" collapsed="false">
      <c r="A178" s="1" t="s">
        <v>132</v>
      </c>
      <c r="B178" s="1" t="n">
        <f aca="false">VALUE(LEFT(A178,4))</f>
        <v>2026</v>
      </c>
      <c r="C178" s="1" t="n">
        <f aca="false">VALUE(RIGHT(A178,2))</f>
        <v>5</v>
      </c>
      <c r="D178" s="1" t="s">
        <v>43</v>
      </c>
      <c r="E178" s="1" t="n">
        <v>0.033417</v>
      </c>
      <c r="F178" s="1" t="n">
        <v>33.991</v>
      </c>
      <c r="G178" s="1" t="n">
        <v>15</v>
      </c>
      <c r="H178" s="4" t="b">
        <f aca="false">AND(E178&lt;&gt;"",F178&lt;=100,G178&gt;=2)</f>
        <v>1</v>
      </c>
    </row>
    <row r="179" customFormat="false" ht="15" hidden="false" customHeight="false" outlineLevel="0" collapsed="false">
      <c r="A179" s="1" t="s">
        <v>132</v>
      </c>
      <c r="B179" s="1" t="n">
        <f aca="false">VALUE(LEFT(A179,4))</f>
        <v>2026</v>
      </c>
      <c r="C179" s="1" t="n">
        <f aca="false">VALUE(RIGHT(A179,2))</f>
        <v>5</v>
      </c>
      <c r="D179" s="1" t="s">
        <v>44</v>
      </c>
      <c r="E179" s="1" t="n">
        <v>0.013899</v>
      </c>
      <c r="F179" s="1" t="n">
        <v>13.979</v>
      </c>
      <c r="G179" s="1" t="n">
        <v>15</v>
      </c>
      <c r="H179" s="4" t="b">
        <f aca="false">AND(E179&lt;&gt;"",F179&lt;=100,G179&gt;=2)</f>
        <v>1</v>
      </c>
    </row>
    <row r="180" customFormat="false" ht="15" hidden="false" customHeight="false" outlineLevel="0" collapsed="false">
      <c r="A180" s="1" t="s">
        <v>133</v>
      </c>
      <c r="B180" s="1" t="n">
        <f aca="false">VALUE(LEFT(A180,4))</f>
        <v>2026</v>
      </c>
      <c r="C180" s="1" t="n">
        <f aca="false">VALUE(RIGHT(A180,2))</f>
        <v>6</v>
      </c>
      <c r="D180" s="1" t="s">
        <v>43</v>
      </c>
      <c r="E180" s="1"/>
      <c r="F180" s="1"/>
      <c r="G180" s="1" t="n">
        <v>0</v>
      </c>
      <c r="H180" s="4" t="b">
        <f aca="false">AND(E180&lt;&gt;"",F180&lt;=100,G180&gt;=2)</f>
        <v>0</v>
      </c>
    </row>
    <row r="181" customFormat="false" ht="15" hidden="false" customHeight="false" outlineLevel="0" collapsed="false">
      <c r="A181" s="1" t="s">
        <v>133</v>
      </c>
      <c r="B181" s="1" t="n">
        <f aca="false">VALUE(LEFT(A181,4))</f>
        <v>2026</v>
      </c>
      <c r="C181" s="1" t="n">
        <f aca="false">VALUE(RIGHT(A181,2))</f>
        <v>6</v>
      </c>
      <c r="D181" s="1" t="s">
        <v>44</v>
      </c>
      <c r="E181" s="1"/>
      <c r="F181" s="1"/>
      <c r="G181" s="1" t="n">
        <v>0</v>
      </c>
      <c r="H181" s="4" t="b">
        <f aca="false">AND(E181&lt;&gt;"",F181&lt;=100,G181&gt;=2)</f>
        <v>0</v>
      </c>
    </row>
    <row r="182" customFormat="false" ht="15" hidden="false" customHeight="false" outlineLevel="0" collapsed="false">
      <c r="A182" s="1" t="s">
        <v>134</v>
      </c>
      <c r="B182" s="1" t="n">
        <f aca="false">VALUE(LEFT(A182,4))</f>
        <v>2026</v>
      </c>
      <c r="C182" s="1" t="n">
        <f aca="false">VALUE(RIGHT(A182,2))</f>
        <v>7</v>
      </c>
      <c r="D182" s="1" t="s">
        <v>43</v>
      </c>
      <c r="E182" s="1" t="n">
        <v>-0.002025</v>
      </c>
      <c r="F182" s="1" t="n">
        <v>10.467</v>
      </c>
      <c r="G182" s="1" t="n">
        <v>11</v>
      </c>
      <c r="H182" s="4" t="b">
        <f aca="false">AND(E182&lt;&gt;"",F182&lt;=100,G182&gt;=2)</f>
        <v>1</v>
      </c>
    </row>
    <row r="183" customFormat="false" ht="15" hidden="false" customHeight="false" outlineLevel="0" collapsed="false">
      <c r="A183" s="1" t="s">
        <v>134</v>
      </c>
      <c r="B183" s="1" t="n">
        <f aca="false">VALUE(LEFT(A183,4))</f>
        <v>2026</v>
      </c>
      <c r="C183" s="1" t="n">
        <f aca="false">VALUE(RIGHT(A183,2))</f>
        <v>7</v>
      </c>
      <c r="D183" s="1" t="s">
        <v>44</v>
      </c>
      <c r="E183" s="1" t="n">
        <v>-0.005202</v>
      </c>
      <c r="F183" s="1" t="n">
        <v>15.821</v>
      </c>
      <c r="G183" s="1" t="n">
        <v>11</v>
      </c>
      <c r="H183" s="4" t="b">
        <f aca="false">AND(E183&lt;&gt;"",F183&lt;=100,G183&gt;=2)</f>
        <v>1</v>
      </c>
    </row>
    <row r="184" customFormat="false" ht="15" hidden="false" customHeight="false" outlineLevel="0" collapsed="false">
      <c r="A184" s="1" t="s">
        <v>135</v>
      </c>
      <c r="B184" s="1" t="n">
        <f aca="false">VALUE(LEFT(A184,4))</f>
        <v>2026</v>
      </c>
      <c r="C184" s="1" t="n">
        <f aca="false">VALUE(RIGHT(A184,2))</f>
        <v>8</v>
      </c>
      <c r="D184" s="1" t="s">
        <v>43</v>
      </c>
      <c r="E184" s="1" t="n">
        <v>-0.007018</v>
      </c>
      <c r="F184" s="1" t="n">
        <v>11.199</v>
      </c>
      <c r="G184" s="1" t="n">
        <v>8</v>
      </c>
      <c r="H184" s="4" t="b">
        <f aca="false">AND(E184&lt;&gt;"",F184&lt;=100,G184&gt;=2)</f>
        <v>1</v>
      </c>
    </row>
    <row r="185" customFormat="false" ht="15" hidden="false" customHeight="false" outlineLevel="0" collapsed="false">
      <c r="A185" s="1" t="s">
        <v>135</v>
      </c>
      <c r="B185" s="1" t="n">
        <f aca="false">VALUE(LEFT(A185,4))</f>
        <v>2026</v>
      </c>
      <c r="C185" s="1" t="n">
        <f aca="false">VALUE(RIGHT(A185,2))</f>
        <v>8</v>
      </c>
      <c r="D185" s="1" t="s">
        <v>44</v>
      </c>
      <c r="E185" s="1" t="n">
        <v>0.006456</v>
      </c>
      <c r="F185" s="1" t="n">
        <v>36.669</v>
      </c>
      <c r="G185" s="1" t="n">
        <v>8</v>
      </c>
      <c r="H185" s="4" t="b">
        <f aca="false">AND(E185&lt;&gt;"",F185&lt;=100,G185&gt;=2)</f>
        <v>1</v>
      </c>
    </row>
    <row r="186" customFormat="false" ht="15" hidden="false" customHeight="false" outlineLevel="0" collapsed="false">
      <c r="A186" s="1" t="s">
        <v>136</v>
      </c>
      <c r="B186" s="1" t="n">
        <f aca="false">VALUE(LEFT(A186,4))</f>
        <v>2026</v>
      </c>
      <c r="C186" s="1" t="n">
        <f aca="false">VALUE(RIGHT(A186,2))</f>
        <v>9</v>
      </c>
      <c r="D186" s="1" t="s">
        <v>43</v>
      </c>
      <c r="E186" s="1" t="n">
        <v>0.032745</v>
      </c>
      <c r="F186" s="1" t="n">
        <v>53.837</v>
      </c>
      <c r="G186" s="1" t="n">
        <v>8</v>
      </c>
      <c r="H186" s="4" t="b">
        <f aca="false">AND(E186&lt;&gt;"",F186&lt;=100,G186&gt;=2)</f>
        <v>1</v>
      </c>
    </row>
    <row r="187" customFormat="false" ht="15" hidden="false" customHeight="false" outlineLevel="0" collapsed="false">
      <c r="A187" s="1" t="s">
        <v>136</v>
      </c>
      <c r="B187" s="1" t="n">
        <f aca="false">VALUE(LEFT(A187,4))</f>
        <v>2026</v>
      </c>
      <c r="C187" s="1" t="n">
        <f aca="false">VALUE(RIGHT(A187,2))</f>
        <v>9</v>
      </c>
      <c r="D187" s="1" t="s">
        <v>44</v>
      </c>
      <c r="E187" s="1" t="n">
        <v>0.023871</v>
      </c>
      <c r="F187" s="1" t="n">
        <v>58.84</v>
      </c>
      <c r="G187" s="1" t="n">
        <v>8</v>
      </c>
      <c r="H187" s="4" t="b">
        <f aca="false">AND(E187&lt;&gt;"",F187&lt;=100,G187&gt;=2)</f>
        <v>1</v>
      </c>
    </row>
    <row r="188" customFormat="false" ht="15" hidden="false" customHeight="false" outlineLevel="0" collapsed="false">
      <c r="A188" s="1" t="s">
        <v>137</v>
      </c>
      <c r="B188" s="1" t="n">
        <f aca="false">VALUE(LEFT(A188,4))</f>
        <v>2026</v>
      </c>
      <c r="C188" s="1" t="n">
        <f aca="false">VALUE(RIGHT(A188,2))</f>
        <v>10</v>
      </c>
      <c r="D188" s="1" t="s">
        <v>43</v>
      </c>
      <c r="E188" s="1"/>
      <c r="F188" s="1"/>
      <c r="G188" s="1" t="n">
        <v>0</v>
      </c>
      <c r="H188" s="4" t="b">
        <f aca="false">AND(E188&lt;&gt;"",F188&lt;=100,G188&gt;=2)</f>
        <v>0</v>
      </c>
    </row>
    <row r="189" customFormat="false" ht="15" hidden="false" customHeight="false" outlineLevel="0" collapsed="false">
      <c r="A189" s="1" t="s">
        <v>137</v>
      </c>
      <c r="B189" s="1" t="n">
        <f aca="false">VALUE(LEFT(A189,4))</f>
        <v>2026</v>
      </c>
      <c r="C189" s="1" t="n">
        <f aca="false">VALUE(RIGHT(A189,2))</f>
        <v>10</v>
      </c>
      <c r="D189" s="1" t="s">
        <v>44</v>
      </c>
      <c r="E189" s="1"/>
      <c r="F189" s="1"/>
      <c r="G189" s="1" t="n">
        <v>0</v>
      </c>
      <c r="H189" s="4" t="b">
        <f aca="false">AND(E189&lt;&gt;"",F189&lt;=100,G189&gt;=2)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2" t="s">
        <v>18</v>
      </c>
      <c r="B1" s="2" t="s">
        <v>39</v>
      </c>
      <c r="C1" s="2" t="s">
        <v>40</v>
      </c>
      <c r="D1" s="2" t="s">
        <v>20</v>
      </c>
      <c r="E1" s="2" t="s">
        <v>22</v>
      </c>
      <c r="F1" s="2" t="s">
        <v>24</v>
      </c>
      <c r="G1" s="2" t="s">
        <v>26</v>
      </c>
      <c r="H1" s="2" t="s">
        <v>28</v>
      </c>
      <c r="J1" s="3" t="s">
        <v>139</v>
      </c>
    </row>
    <row r="2" customFormat="false" ht="15" hidden="false" customHeight="false" outlineLevel="0" collapsed="false">
      <c r="A2" s="1" t="s">
        <v>42</v>
      </c>
      <c r="B2" s="1" t="n">
        <f aca="false">VALUE(LEFT(A2,4))</f>
        <v>2019</v>
      </c>
      <c r="C2" s="1" t="n">
        <f aca="false">VALUE(RIGHT(A2,2))</f>
        <v>1</v>
      </c>
      <c r="D2" s="1" t="s">
        <v>43</v>
      </c>
      <c r="E2" s="1" t="n">
        <v>0.048788</v>
      </c>
      <c r="F2" s="1" t="n">
        <v>31.509</v>
      </c>
      <c r="G2" s="1" t="n">
        <v>7</v>
      </c>
      <c r="H2" s="4" t="b">
        <f aca="false">AND(E2&lt;&gt;"",F2&lt;=100,G2&gt;=2)</f>
        <v>1</v>
      </c>
    </row>
    <row r="3" customFormat="false" ht="15" hidden="false" customHeight="false" outlineLevel="0" collapsed="false">
      <c r="A3" s="1" t="s">
        <v>42</v>
      </c>
      <c r="B3" s="1" t="n">
        <f aca="false">VALUE(LEFT(A3,4))</f>
        <v>2019</v>
      </c>
      <c r="C3" s="1" t="n">
        <f aca="false">VALUE(RIGHT(A3,2))</f>
        <v>1</v>
      </c>
      <c r="D3" s="1" t="s">
        <v>44</v>
      </c>
      <c r="E3" s="1"/>
      <c r="F3" s="1"/>
      <c r="G3" s="1" t="n">
        <v>7</v>
      </c>
      <c r="H3" s="4" t="b">
        <f aca="false">AND(E3&lt;&gt;"",F3&lt;=100,G3&gt;=2)</f>
        <v>0</v>
      </c>
    </row>
    <row r="4" customFormat="false" ht="15" hidden="false" customHeight="false" outlineLevel="0" collapsed="false">
      <c r="A4" s="1" t="s">
        <v>45</v>
      </c>
      <c r="B4" s="1" t="n">
        <f aca="false">VALUE(LEFT(A4,4))</f>
        <v>2019</v>
      </c>
      <c r="C4" s="1" t="n">
        <f aca="false">VALUE(RIGHT(A4,2))</f>
        <v>2</v>
      </c>
      <c r="D4" s="1" t="s">
        <v>43</v>
      </c>
      <c r="E4" s="1" t="n">
        <v>0.008792</v>
      </c>
      <c r="F4" s="1" t="n">
        <v>24.241</v>
      </c>
      <c r="G4" s="1" t="n">
        <v>15</v>
      </c>
      <c r="H4" s="4" t="b">
        <f aca="false">AND(E4&lt;&gt;"",F4&lt;=100,G4&gt;=2)</f>
        <v>1</v>
      </c>
    </row>
    <row r="5" customFormat="false" ht="15" hidden="false" customHeight="false" outlineLevel="0" collapsed="false">
      <c r="A5" s="1" t="s">
        <v>45</v>
      </c>
      <c r="B5" s="1" t="n">
        <f aca="false">VALUE(LEFT(A5,4))</f>
        <v>2019</v>
      </c>
      <c r="C5" s="1" t="n">
        <f aca="false">VALUE(RIGHT(A5,2))</f>
        <v>2</v>
      </c>
      <c r="D5" s="1" t="s">
        <v>44</v>
      </c>
      <c r="E5" s="1" t="n">
        <v>0.005667</v>
      </c>
      <c r="F5" s="1" t="n">
        <v>756.501</v>
      </c>
      <c r="G5" s="1" t="n">
        <v>15</v>
      </c>
      <c r="H5" s="4" t="b">
        <f aca="false">AND(E5&lt;&gt;"",F5&lt;=100,G5&gt;=2)</f>
        <v>0</v>
      </c>
    </row>
    <row r="6" customFormat="false" ht="15" hidden="false" customHeight="false" outlineLevel="0" collapsed="false">
      <c r="A6" s="1" t="s">
        <v>46</v>
      </c>
      <c r="B6" s="1" t="n">
        <f aca="false">VALUE(LEFT(A6,4))</f>
        <v>2019</v>
      </c>
      <c r="C6" s="1" t="n">
        <f aca="false">VALUE(RIGHT(A6,2))</f>
        <v>3</v>
      </c>
      <c r="D6" s="1" t="s">
        <v>43</v>
      </c>
      <c r="E6" s="1" t="n">
        <v>0.022084</v>
      </c>
      <c r="F6" s="1" t="n">
        <v>25.995</v>
      </c>
      <c r="G6" s="1" t="n">
        <v>18</v>
      </c>
      <c r="H6" s="4" t="b">
        <f aca="false">AND(E6&lt;&gt;"",F6&lt;=100,G6&gt;=2)</f>
        <v>1</v>
      </c>
    </row>
    <row r="7" customFormat="false" ht="15" hidden="false" customHeight="false" outlineLevel="0" collapsed="false">
      <c r="A7" s="1" t="s">
        <v>46</v>
      </c>
      <c r="B7" s="1" t="n">
        <f aca="false">VALUE(LEFT(A7,4))</f>
        <v>2019</v>
      </c>
      <c r="C7" s="1" t="n">
        <f aca="false">VALUE(RIGHT(A7,2))</f>
        <v>3</v>
      </c>
      <c r="D7" s="1" t="s">
        <v>44</v>
      </c>
      <c r="E7" s="1" t="n">
        <v>0.034043</v>
      </c>
      <c r="F7" s="1" t="n">
        <v>377.218</v>
      </c>
      <c r="G7" s="1" t="n">
        <v>18</v>
      </c>
      <c r="H7" s="4" t="b">
        <f aca="false">AND(E7&lt;&gt;"",F7&lt;=100,G7&gt;=2)</f>
        <v>0</v>
      </c>
    </row>
    <row r="8" customFormat="false" ht="15" hidden="false" customHeight="false" outlineLevel="0" collapsed="false">
      <c r="A8" s="1" t="s">
        <v>47</v>
      </c>
      <c r="B8" s="1" t="n">
        <f aca="false">VALUE(LEFT(A8,4))</f>
        <v>2019</v>
      </c>
      <c r="C8" s="1" t="n">
        <f aca="false">VALUE(RIGHT(A8,2))</f>
        <v>4</v>
      </c>
      <c r="D8" s="1" t="s">
        <v>43</v>
      </c>
      <c r="E8" s="1" t="n">
        <v>-0.04818</v>
      </c>
      <c r="F8" s="1" t="n">
        <v>15.263</v>
      </c>
      <c r="G8" s="1" t="n">
        <v>5</v>
      </c>
      <c r="H8" s="4" t="b">
        <f aca="false">AND(E8&lt;&gt;"",F8&lt;=100,G8&gt;=2)</f>
        <v>1</v>
      </c>
    </row>
    <row r="9" customFormat="false" ht="15" hidden="false" customHeight="false" outlineLevel="0" collapsed="false">
      <c r="A9" s="1" t="s">
        <v>47</v>
      </c>
      <c r="B9" s="1" t="n">
        <f aca="false">VALUE(LEFT(A9,4))</f>
        <v>2019</v>
      </c>
      <c r="C9" s="1" t="n">
        <f aca="false">VALUE(RIGHT(A9,2))</f>
        <v>4</v>
      </c>
      <c r="D9" s="1" t="s">
        <v>44</v>
      </c>
      <c r="E9" s="1"/>
      <c r="F9" s="1"/>
      <c r="G9" s="1" t="n">
        <v>5</v>
      </c>
      <c r="H9" s="4" t="b">
        <f aca="false">AND(E9&lt;&gt;"",F9&lt;=100,G9&gt;=2)</f>
        <v>0</v>
      </c>
    </row>
    <row r="10" customFormat="false" ht="15" hidden="false" customHeight="false" outlineLevel="0" collapsed="false">
      <c r="A10" s="1" t="s">
        <v>48</v>
      </c>
      <c r="B10" s="1" t="n">
        <f aca="false">VALUE(LEFT(A10,4))</f>
        <v>2019</v>
      </c>
      <c r="C10" s="1" t="n">
        <f aca="false">VALUE(RIGHT(A10,2))</f>
        <v>5</v>
      </c>
      <c r="D10" s="1" t="s">
        <v>43</v>
      </c>
      <c r="E10" s="1" t="n">
        <v>-0.011804</v>
      </c>
      <c r="F10" s="1" t="n">
        <v>14.52</v>
      </c>
      <c r="G10" s="1" t="n">
        <v>8</v>
      </c>
      <c r="H10" s="4" t="b">
        <f aca="false">AND(E10&lt;&gt;"",F10&lt;=100,G10&gt;=2)</f>
        <v>1</v>
      </c>
    </row>
    <row r="11" customFormat="false" ht="15" hidden="false" customHeight="false" outlineLevel="0" collapsed="false">
      <c r="A11" s="1" t="s">
        <v>48</v>
      </c>
      <c r="B11" s="1" t="n">
        <f aca="false">VALUE(LEFT(A11,4))</f>
        <v>2019</v>
      </c>
      <c r="C11" s="1" t="n">
        <f aca="false">VALUE(RIGHT(A11,2))</f>
        <v>5</v>
      </c>
      <c r="D11" s="1" t="s">
        <v>44</v>
      </c>
      <c r="E11" s="1" t="n">
        <v>0.057129</v>
      </c>
      <c r="F11" s="1" t="n">
        <v>76.233</v>
      </c>
      <c r="G11" s="1" t="n">
        <v>8</v>
      </c>
      <c r="H11" s="4" t="b">
        <f aca="false">AND(E11&lt;&gt;"",F11&lt;=100,G11&gt;=2)</f>
        <v>1</v>
      </c>
    </row>
    <row r="12" customFormat="false" ht="15" hidden="false" customHeight="false" outlineLevel="0" collapsed="false">
      <c r="A12" s="1" t="s">
        <v>49</v>
      </c>
      <c r="B12" s="1" t="n">
        <f aca="false">VALUE(LEFT(A12,4))</f>
        <v>2019</v>
      </c>
      <c r="C12" s="1" t="n">
        <f aca="false">VALUE(RIGHT(A12,2))</f>
        <v>6</v>
      </c>
      <c r="D12" s="1" t="s">
        <v>43</v>
      </c>
      <c r="E12" s="1" t="n">
        <v>0.057428</v>
      </c>
      <c r="F12" s="1" t="n">
        <v>19.417</v>
      </c>
      <c r="G12" s="1" t="n">
        <v>3</v>
      </c>
      <c r="H12" s="4" t="b">
        <f aca="false">AND(E12&lt;&gt;"",F12&lt;=100,G12&gt;=2)</f>
        <v>1</v>
      </c>
    </row>
    <row r="13" customFormat="false" ht="15" hidden="false" customHeight="false" outlineLevel="0" collapsed="false">
      <c r="A13" s="1" t="s">
        <v>49</v>
      </c>
      <c r="B13" s="1" t="n">
        <f aca="false">VALUE(LEFT(A13,4))</f>
        <v>2019</v>
      </c>
      <c r="C13" s="1" t="n">
        <f aca="false">VALUE(RIGHT(A13,2))</f>
        <v>6</v>
      </c>
      <c r="D13" s="1" t="s">
        <v>44</v>
      </c>
      <c r="E13" s="1" t="n">
        <v>0.104391</v>
      </c>
      <c r="F13" s="1" t="n">
        <v>65.333</v>
      </c>
      <c r="G13" s="1" t="n">
        <v>3</v>
      </c>
      <c r="H13" s="4" t="b">
        <f aca="false">AND(E13&lt;&gt;"",F13&lt;=100,G13&gt;=2)</f>
        <v>1</v>
      </c>
    </row>
    <row r="14" customFormat="false" ht="15" hidden="false" customHeight="false" outlineLevel="0" collapsed="false">
      <c r="A14" s="1" t="s">
        <v>50</v>
      </c>
      <c r="B14" s="1" t="n">
        <f aca="false">VALUE(LEFT(A14,4))</f>
        <v>2019</v>
      </c>
      <c r="C14" s="1" t="n">
        <f aca="false">VALUE(RIGHT(A14,2))</f>
        <v>7</v>
      </c>
      <c r="D14" s="1" t="s">
        <v>43</v>
      </c>
      <c r="E14" s="1" t="n">
        <v>0.007141</v>
      </c>
      <c r="F14" s="1" t="n">
        <v>14.462</v>
      </c>
      <c r="G14" s="1" t="n">
        <v>8</v>
      </c>
      <c r="H14" s="4" t="b">
        <f aca="false">AND(E14&lt;&gt;"",F14&lt;=100,G14&gt;=2)</f>
        <v>1</v>
      </c>
    </row>
    <row r="15" customFormat="false" ht="15" hidden="false" customHeight="false" outlineLevel="0" collapsed="false">
      <c r="A15" s="1" t="s">
        <v>50</v>
      </c>
      <c r="B15" s="1" t="n">
        <f aca="false">VALUE(LEFT(A15,4))</f>
        <v>2019</v>
      </c>
      <c r="C15" s="1" t="n">
        <f aca="false">VALUE(RIGHT(A15,2))</f>
        <v>7</v>
      </c>
      <c r="D15" s="1" t="s">
        <v>44</v>
      </c>
      <c r="E15" s="1" t="n">
        <v>0.042336</v>
      </c>
      <c r="F15" s="1" t="n">
        <v>98.4</v>
      </c>
      <c r="G15" s="1" t="n">
        <v>8</v>
      </c>
      <c r="H15" s="4" t="b">
        <f aca="false">AND(E15&lt;&gt;"",F15&lt;=100,G15&gt;=2)</f>
        <v>1</v>
      </c>
    </row>
    <row r="16" customFormat="false" ht="15" hidden="false" customHeight="false" outlineLevel="0" collapsed="false">
      <c r="A16" s="1" t="s">
        <v>51</v>
      </c>
      <c r="B16" s="1" t="n">
        <f aca="false">VALUE(LEFT(A16,4))</f>
        <v>2019</v>
      </c>
      <c r="C16" s="1" t="n">
        <f aca="false">VALUE(RIGHT(A16,2))</f>
        <v>8</v>
      </c>
      <c r="D16" s="1" t="s">
        <v>43</v>
      </c>
      <c r="E16" s="1" t="n">
        <v>0.030884</v>
      </c>
      <c r="F16" s="1" t="n">
        <v>29.181</v>
      </c>
      <c r="G16" s="1" t="n">
        <v>7</v>
      </c>
      <c r="H16" s="4" t="b">
        <f aca="false">AND(E16&lt;&gt;"",F16&lt;=100,G16&gt;=2)</f>
        <v>1</v>
      </c>
    </row>
    <row r="17" customFormat="false" ht="15" hidden="false" customHeight="false" outlineLevel="0" collapsed="false">
      <c r="A17" s="1" t="s">
        <v>51</v>
      </c>
      <c r="B17" s="1" t="n">
        <f aca="false">VALUE(LEFT(A17,4))</f>
        <v>2019</v>
      </c>
      <c r="C17" s="1" t="n">
        <f aca="false">VALUE(RIGHT(A17,2))</f>
        <v>8</v>
      </c>
      <c r="D17" s="1" t="s">
        <v>44</v>
      </c>
      <c r="E17" s="1" t="n">
        <v>0.005338</v>
      </c>
      <c r="F17" s="1" t="n">
        <v>487.554</v>
      </c>
      <c r="G17" s="1" t="n">
        <v>7</v>
      </c>
      <c r="H17" s="4" t="b">
        <f aca="false">AND(E17&lt;&gt;"",F17&lt;=100,G17&gt;=2)</f>
        <v>0</v>
      </c>
    </row>
    <row r="18" customFormat="false" ht="15" hidden="false" customHeight="false" outlineLevel="0" collapsed="false">
      <c r="A18" s="1" t="s">
        <v>52</v>
      </c>
      <c r="B18" s="1" t="n">
        <f aca="false">VALUE(LEFT(A18,4))</f>
        <v>2019</v>
      </c>
      <c r="C18" s="1" t="n">
        <f aca="false">VALUE(RIGHT(A18,2))</f>
        <v>9</v>
      </c>
      <c r="D18" s="1" t="s">
        <v>43</v>
      </c>
      <c r="E18" s="1"/>
      <c r="F18" s="1"/>
      <c r="G18" s="1" t="n">
        <v>0</v>
      </c>
      <c r="H18" s="4" t="b">
        <f aca="false">AND(E18&lt;&gt;"",F18&lt;=100,G18&gt;=2)</f>
        <v>0</v>
      </c>
    </row>
    <row r="19" customFormat="false" ht="15" hidden="false" customHeight="false" outlineLevel="0" collapsed="false">
      <c r="A19" s="1" t="s">
        <v>52</v>
      </c>
      <c r="B19" s="1" t="n">
        <f aca="false">VALUE(LEFT(A19,4))</f>
        <v>2019</v>
      </c>
      <c r="C19" s="1" t="n">
        <f aca="false">VALUE(RIGHT(A19,2))</f>
        <v>9</v>
      </c>
      <c r="D19" s="1" t="s">
        <v>44</v>
      </c>
      <c r="E19" s="1"/>
      <c r="F19" s="1"/>
      <c r="G19" s="1" t="n">
        <v>0</v>
      </c>
      <c r="H19" s="4" t="b">
        <f aca="false">AND(E19&lt;&gt;"",F19&lt;=100,G19&gt;=2)</f>
        <v>0</v>
      </c>
    </row>
    <row r="20" customFormat="false" ht="15" hidden="false" customHeight="false" outlineLevel="0" collapsed="false">
      <c r="A20" s="1" t="s">
        <v>53</v>
      </c>
      <c r="B20" s="1" t="n">
        <f aca="false">VALUE(LEFT(A20,4))</f>
        <v>2019</v>
      </c>
      <c r="C20" s="1" t="n">
        <f aca="false">VALUE(RIGHT(A20,2))</f>
        <v>10</v>
      </c>
      <c r="D20" s="1" t="s">
        <v>43</v>
      </c>
      <c r="E20" s="1"/>
      <c r="F20" s="1"/>
      <c r="G20" s="1" t="n">
        <v>2</v>
      </c>
      <c r="H20" s="4" t="b">
        <f aca="false">AND(E20&lt;&gt;"",F20&lt;=100,G20&gt;=2)</f>
        <v>0</v>
      </c>
    </row>
    <row r="21" customFormat="false" ht="15" hidden="false" customHeight="false" outlineLevel="0" collapsed="false">
      <c r="A21" s="1" t="s">
        <v>53</v>
      </c>
      <c r="B21" s="1" t="n">
        <f aca="false">VALUE(LEFT(A21,4))</f>
        <v>2019</v>
      </c>
      <c r="C21" s="1" t="n">
        <f aca="false">VALUE(RIGHT(A21,2))</f>
        <v>10</v>
      </c>
      <c r="D21" s="1" t="s">
        <v>44</v>
      </c>
      <c r="E21" s="1" t="n">
        <v>0.002651</v>
      </c>
      <c r="F21" s="1" t="n">
        <v>618.746</v>
      </c>
      <c r="G21" s="1" t="n">
        <v>2</v>
      </c>
      <c r="H21" s="4" t="b">
        <f aca="false">AND(E21&lt;&gt;"",F21&lt;=100,G21&gt;=2)</f>
        <v>0</v>
      </c>
    </row>
    <row r="22" customFormat="false" ht="15" hidden="false" customHeight="false" outlineLevel="0" collapsed="false">
      <c r="A22" s="1" t="s">
        <v>54</v>
      </c>
      <c r="B22" s="1" t="n">
        <f aca="false">VALUE(LEFT(A22,4))</f>
        <v>2019</v>
      </c>
      <c r="C22" s="1" t="n">
        <f aca="false">VALUE(RIGHT(A22,2))</f>
        <v>11</v>
      </c>
      <c r="D22" s="1" t="s">
        <v>43</v>
      </c>
      <c r="E22" s="1"/>
      <c r="F22" s="1"/>
      <c r="G22" s="1" t="n">
        <v>5</v>
      </c>
      <c r="H22" s="4" t="b">
        <f aca="false">AND(E22&lt;&gt;"",F22&lt;=100,G22&gt;=2)</f>
        <v>0</v>
      </c>
    </row>
    <row r="23" customFormat="false" ht="15" hidden="false" customHeight="false" outlineLevel="0" collapsed="false">
      <c r="A23" s="1" t="s">
        <v>54</v>
      </c>
      <c r="B23" s="1" t="n">
        <f aca="false">VALUE(LEFT(A23,4))</f>
        <v>2019</v>
      </c>
      <c r="C23" s="1" t="n">
        <f aca="false">VALUE(RIGHT(A23,2))</f>
        <v>11</v>
      </c>
      <c r="D23" s="1" t="s">
        <v>44</v>
      </c>
      <c r="E23" s="1" t="n">
        <v>0.019156</v>
      </c>
      <c r="F23" s="1" t="n">
        <v>423.556</v>
      </c>
      <c r="G23" s="1" t="n">
        <v>5</v>
      </c>
      <c r="H23" s="4" t="b">
        <f aca="false">AND(E23&lt;&gt;"",F23&lt;=100,G23&gt;=2)</f>
        <v>0</v>
      </c>
    </row>
    <row r="24" customFormat="false" ht="15" hidden="false" customHeight="false" outlineLevel="0" collapsed="false">
      <c r="A24" s="1" t="s">
        <v>55</v>
      </c>
      <c r="B24" s="1" t="n">
        <f aca="false">VALUE(LEFT(A24,4))</f>
        <v>2019</v>
      </c>
      <c r="C24" s="1" t="n">
        <f aca="false">VALUE(RIGHT(A24,2))</f>
        <v>12</v>
      </c>
      <c r="D24" s="1" t="s">
        <v>43</v>
      </c>
      <c r="E24" s="1" t="n">
        <v>0.014985</v>
      </c>
      <c r="F24" s="1" t="n">
        <v>26.461</v>
      </c>
      <c r="G24" s="1" t="n">
        <v>6</v>
      </c>
      <c r="H24" s="4" t="b">
        <f aca="false">AND(E24&lt;&gt;"",F24&lt;=100,G24&gt;=2)</f>
        <v>1</v>
      </c>
    </row>
    <row r="25" customFormat="false" ht="15" hidden="false" customHeight="false" outlineLevel="0" collapsed="false">
      <c r="A25" s="1" t="s">
        <v>55</v>
      </c>
      <c r="B25" s="1" t="n">
        <f aca="false">VALUE(LEFT(A25,4))</f>
        <v>2019</v>
      </c>
      <c r="C25" s="1" t="n">
        <f aca="false">VALUE(RIGHT(A25,2))</f>
        <v>12</v>
      </c>
      <c r="D25" s="1" t="s">
        <v>44</v>
      </c>
      <c r="E25" s="1" t="n">
        <v>0.01009</v>
      </c>
      <c r="F25" s="1" t="n">
        <v>465.156</v>
      </c>
      <c r="G25" s="1" t="n">
        <v>6</v>
      </c>
      <c r="H25" s="4" t="b">
        <f aca="false">AND(E25&lt;&gt;"",F25&lt;=100,G25&gt;=2)</f>
        <v>0</v>
      </c>
    </row>
    <row r="26" customFormat="false" ht="15" hidden="false" customHeight="false" outlineLevel="0" collapsed="false">
      <c r="A26" s="1" t="s">
        <v>56</v>
      </c>
      <c r="B26" s="1" t="n">
        <f aca="false">VALUE(LEFT(A26,4))</f>
        <v>2020</v>
      </c>
      <c r="C26" s="1" t="n">
        <f aca="false">VALUE(RIGHT(A26,2))</f>
        <v>1</v>
      </c>
      <c r="D26" s="1" t="s">
        <v>43</v>
      </c>
      <c r="E26" s="1" t="n">
        <v>0.03491</v>
      </c>
      <c r="F26" s="1" t="n">
        <v>21.988</v>
      </c>
      <c r="G26" s="1" t="n">
        <v>12</v>
      </c>
      <c r="H26" s="4" t="b">
        <f aca="false">AND(E26&lt;&gt;"",F26&lt;=100,G26&gt;=2)</f>
        <v>1</v>
      </c>
    </row>
    <row r="27" customFormat="false" ht="15" hidden="false" customHeight="false" outlineLevel="0" collapsed="false">
      <c r="A27" s="1" t="s">
        <v>56</v>
      </c>
      <c r="B27" s="1" t="n">
        <f aca="false">VALUE(LEFT(A27,4))</f>
        <v>2020</v>
      </c>
      <c r="C27" s="1" t="n">
        <f aca="false">VALUE(RIGHT(A27,2))</f>
        <v>1</v>
      </c>
      <c r="D27" s="1" t="s">
        <v>44</v>
      </c>
      <c r="E27" s="1" t="n">
        <v>0.004573</v>
      </c>
      <c r="F27" s="1" t="n">
        <v>886.405</v>
      </c>
      <c r="G27" s="1" t="n">
        <v>12</v>
      </c>
      <c r="H27" s="4" t="b">
        <f aca="false">AND(E27&lt;&gt;"",F27&lt;=100,G27&gt;=2)</f>
        <v>0</v>
      </c>
    </row>
    <row r="28" customFormat="false" ht="15" hidden="false" customHeight="false" outlineLevel="0" collapsed="false">
      <c r="A28" s="1" t="s">
        <v>57</v>
      </c>
      <c r="B28" s="1" t="n">
        <f aca="false">VALUE(LEFT(A28,4))</f>
        <v>2020</v>
      </c>
      <c r="C28" s="1" t="n">
        <f aca="false">VALUE(RIGHT(A28,2))</f>
        <v>2</v>
      </c>
      <c r="D28" s="1" t="s">
        <v>43</v>
      </c>
      <c r="E28" s="1" t="n">
        <v>0.032421</v>
      </c>
      <c r="F28" s="1" t="n">
        <v>26.557</v>
      </c>
      <c r="G28" s="1" t="n">
        <v>12</v>
      </c>
      <c r="H28" s="4" t="b">
        <f aca="false">AND(E28&lt;&gt;"",F28&lt;=100,G28&gt;=2)</f>
        <v>1</v>
      </c>
    </row>
    <row r="29" customFormat="false" ht="15" hidden="false" customHeight="false" outlineLevel="0" collapsed="false">
      <c r="A29" s="1" t="s">
        <v>57</v>
      </c>
      <c r="B29" s="1" t="n">
        <f aca="false">VALUE(LEFT(A29,4))</f>
        <v>2020</v>
      </c>
      <c r="C29" s="1" t="n">
        <f aca="false">VALUE(RIGHT(A29,2))</f>
        <v>2</v>
      </c>
      <c r="D29" s="1" t="s">
        <v>44</v>
      </c>
      <c r="E29" s="1" t="n">
        <v>0.00445</v>
      </c>
      <c r="F29" s="1" t="n">
        <v>675.49</v>
      </c>
      <c r="G29" s="1" t="n">
        <v>12</v>
      </c>
      <c r="H29" s="4" t="b">
        <f aca="false">AND(E29&lt;&gt;"",F29&lt;=100,G29&gt;=2)</f>
        <v>0</v>
      </c>
    </row>
    <row r="30" customFormat="false" ht="15" hidden="false" customHeight="false" outlineLevel="0" collapsed="false">
      <c r="A30" s="1" t="s">
        <v>58</v>
      </c>
      <c r="B30" s="1" t="n">
        <f aca="false">VALUE(LEFT(A30,4))</f>
        <v>2020</v>
      </c>
      <c r="C30" s="1" t="n">
        <f aca="false">VALUE(RIGHT(A30,2))</f>
        <v>3</v>
      </c>
      <c r="D30" s="1" t="s">
        <v>43</v>
      </c>
      <c r="E30" s="1" t="n">
        <v>0.013056</v>
      </c>
      <c r="F30" s="1" t="n">
        <v>19.093</v>
      </c>
      <c r="G30" s="1" t="n">
        <v>9</v>
      </c>
      <c r="H30" s="4" t="b">
        <f aca="false">AND(E30&lt;&gt;"",F30&lt;=100,G30&gt;=2)</f>
        <v>1</v>
      </c>
    </row>
    <row r="31" customFormat="false" ht="15" hidden="false" customHeight="false" outlineLevel="0" collapsed="false">
      <c r="A31" s="1" t="s">
        <v>58</v>
      </c>
      <c r="B31" s="1" t="n">
        <f aca="false">VALUE(LEFT(A31,4))</f>
        <v>2020</v>
      </c>
      <c r="C31" s="1" t="n">
        <f aca="false">VALUE(RIGHT(A31,2))</f>
        <v>3</v>
      </c>
      <c r="D31" s="1" t="s">
        <v>44</v>
      </c>
      <c r="E31" s="1" t="n">
        <v>0.01041</v>
      </c>
      <c r="F31" s="1" t="n">
        <v>566.829</v>
      </c>
      <c r="G31" s="1" t="n">
        <v>9</v>
      </c>
      <c r="H31" s="4" t="b">
        <f aca="false">AND(E31&lt;&gt;"",F31&lt;=100,G31&gt;=2)</f>
        <v>0</v>
      </c>
    </row>
    <row r="32" customFormat="false" ht="15" hidden="false" customHeight="false" outlineLevel="0" collapsed="false">
      <c r="A32" s="1" t="s">
        <v>59</v>
      </c>
      <c r="B32" s="1" t="n">
        <f aca="false">VALUE(LEFT(A32,4))</f>
        <v>2020</v>
      </c>
      <c r="C32" s="1" t="n">
        <f aca="false">VALUE(RIGHT(A32,2))</f>
        <v>4</v>
      </c>
      <c r="D32" s="1" t="s">
        <v>43</v>
      </c>
      <c r="E32" s="1" t="n">
        <v>0.026341</v>
      </c>
      <c r="F32" s="1" t="n">
        <v>18.355</v>
      </c>
      <c r="G32" s="1" t="n">
        <v>8</v>
      </c>
      <c r="H32" s="4" t="b">
        <f aca="false">AND(E32&lt;&gt;"",F32&lt;=100,G32&gt;=2)</f>
        <v>1</v>
      </c>
    </row>
    <row r="33" customFormat="false" ht="15" hidden="false" customHeight="false" outlineLevel="0" collapsed="false">
      <c r="A33" s="1" t="s">
        <v>59</v>
      </c>
      <c r="B33" s="1" t="n">
        <f aca="false">VALUE(LEFT(A33,4))</f>
        <v>2020</v>
      </c>
      <c r="C33" s="1" t="n">
        <f aca="false">VALUE(RIGHT(A33,2))</f>
        <v>4</v>
      </c>
      <c r="D33" s="1" t="s">
        <v>44</v>
      </c>
      <c r="E33" s="1" t="n">
        <v>0.122007</v>
      </c>
      <c r="F33" s="1" t="n">
        <v>81.167</v>
      </c>
      <c r="G33" s="1" t="n">
        <v>8</v>
      </c>
      <c r="H33" s="4" t="b">
        <f aca="false">AND(E33&lt;&gt;"",F33&lt;=100,G33&gt;=2)</f>
        <v>1</v>
      </c>
    </row>
    <row r="34" customFormat="false" ht="15" hidden="false" customHeight="false" outlineLevel="0" collapsed="false">
      <c r="A34" s="1" t="s">
        <v>60</v>
      </c>
      <c r="B34" s="1" t="n">
        <f aca="false">VALUE(LEFT(A34,4))</f>
        <v>2020</v>
      </c>
      <c r="C34" s="1" t="n">
        <f aca="false">VALUE(RIGHT(A34,2))</f>
        <v>5</v>
      </c>
      <c r="D34" s="1" t="s">
        <v>43</v>
      </c>
      <c r="E34" s="1"/>
      <c r="F34" s="1"/>
      <c r="G34" s="1" t="n">
        <v>0</v>
      </c>
      <c r="H34" s="4" t="b">
        <f aca="false">AND(E34&lt;&gt;"",F34&lt;=100,G34&gt;=2)</f>
        <v>0</v>
      </c>
    </row>
    <row r="35" customFormat="false" ht="15" hidden="false" customHeight="false" outlineLevel="0" collapsed="false">
      <c r="A35" s="1" t="s">
        <v>60</v>
      </c>
      <c r="B35" s="1" t="n">
        <f aca="false">VALUE(LEFT(A35,4))</f>
        <v>2020</v>
      </c>
      <c r="C35" s="1" t="n">
        <f aca="false">VALUE(RIGHT(A35,2))</f>
        <v>5</v>
      </c>
      <c r="D35" s="1" t="s">
        <v>44</v>
      </c>
      <c r="E35" s="1"/>
      <c r="F35" s="1"/>
      <c r="G35" s="1" t="n">
        <v>0</v>
      </c>
      <c r="H35" s="4" t="b">
        <f aca="false">AND(E35&lt;&gt;"",F35&lt;=100,G35&gt;=2)</f>
        <v>0</v>
      </c>
    </row>
    <row r="36" customFormat="false" ht="15" hidden="false" customHeight="false" outlineLevel="0" collapsed="false">
      <c r="A36" s="1" t="s">
        <v>61</v>
      </c>
      <c r="B36" s="1" t="n">
        <f aca="false">VALUE(LEFT(A36,4))</f>
        <v>2020</v>
      </c>
      <c r="C36" s="1" t="n">
        <f aca="false">VALUE(RIGHT(A36,2))</f>
        <v>6</v>
      </c>
      <c r="D36" s="1" t="s">
        <v>43</v>
      </c>
      <c r="E36" s="1" t="n">
        <v>-0.013381</v>
      </c>
      <c r="F36" s="1" t="n">
        <v>13.143</v>
      </c>
      <c r="G36" s="1" t="n">
        <v>10</v>
      </c>
      <c r="H36" s="4" t="b">
        <f aca="false">AND(E36&lt;&gt;"",F36&lt;=100,G36&gt;=2)</f>
        <v>1</v>
      </c>
    </row>
    <row r="37" customFormat="false" ht="15" hidden="false" customHeight="false" outlineLevel="0" collapsed="false">
      <c r="A37" s="1" t="s">
        <v>61</v>
      </c>
      <c r="B37" s="1" t="n">
        <f aca="false">VALUE(LEFT(A37,4))</f>
        <v>2020</v>
      </c>
      <c r="C37" s="1" t="n">
        <f aca="false">VALUE(RIGHT(A37,2))</f>
        <v>6</v>
      </c>
      <c r="D37" s="1" t="s">
        <v>44</v>
      </c>
      <c r="E37" s="1" t="n">
        <v>0.007741</v>
      </c>
      <c r="F37" s="1" t="n">
        <v>777.169</v>
      </c>
      <c r="G37" s="1" t="n">
        <v>10</v>
      </c>
      <c r="H37" s="4" t="b">
        <f aca="false">AND(E37&lt;&gt;"",F37&lt;=100,G37&gt;=2)</f>
        <v>0</v>
      </c>
    </row>
    <row r="38" customFormat="false" ht="15" hidden="false" customHeight="false" outlineLevel="0" collapsed="false">
      <c r="A38" s="1" t="s">
        <v>62</v>
      </c>
      <c r="B38" s="1" t="n">
        <f aca="false">VALUE(LEFT(A38,4))</f>
        <v>2020</v>
      </c>
      <c r="C38" s="1" t="n">
        <f aca="false">VALUE(RIGHT(A38,2))</f>
        <v>7</v>
      </c>
      <c r="D38" s="1" t="s">
        <v>43</v>
      </c>
      <c r="E38" s="1" t="n">
        <v>-0.005597</v>
      </c>
      <c r="F38" s="1" t="n">
        <v>12.86</v>
      </c>
      <c r="G38" s="1" t="n">
        <v>10</v>
      </c>
      <c r="H38" s="4" t="b">
        <f aca="false">AND(E38&lt;&gt;"",F38&lt;=100,G38&gt;=2)</f>
        <v>1</v>
      </c>
    </row>
    <row r="39" customFormat="false" ht="15" hidden="false" customHeight="false" outlineLevel="0" collapsed="false">
      <c r="A39" s="1" t="s">
        <v>62</v>
      </c>
      <c r="B39" s="1" t="n">
        <f aca="false">VALUE(LEFT(A39,4))</f>
        <v>2020</v>
      </c>
      <c r="C39" s="1" t="n">
        <f aca="false">VALUE(RIGHT(A39,2))</f>
        <v>7</v>
      </c>
      <c r="D39" s="1" t="s">
        <v>44</v>
      </c>
      <c r="E39" s="1" t="n">
        <v>0.063458</v>
      </c>
      <c r="F39" s="1" t="n">
        <v>502.973</v>
      </c>
      <c r="G39" s="1" t="n">
        <v>10</v>
      </c>
      <c r="H39" s="4" t="b">
        <f aca="false">AND(E39&lt;&gt;"",F39&lt;=100,G39&gt;=2)</f>
        <v>0</v>
      </c>
    </row>
    <row r="40" customFormat="false" ht="15" hidden="false" customHeight="false" outlineLevel="0" collapsed="false">
      <c r="A40" s="1" t="s">
        <v>63</v>
      </c>
      <c r="B40" s="1" t="n">
        <f aca="false">VALUE(LEFT(A40,4))</f>
        <v>2020</v>
      </c>
      <c r="C40" s="1" t="n">
        <f aca="false">VALUE(RIGHT(A40,2))</f>
        <v>8</v>
      </c>
      <c r="D40" s="1" t="s">
        <v>43</v>
      </c>
      <c r="E40" s="1" t="n">
        <v>-0.002001</v>
      </c>
      <c r="F40" s="1" t="n">
        <v>14.615</v>
      </c>
      <c r="G40" s="1" t="n">
        <v>9</v>
      </c>
      <c r="H40" s="4" t="b">
        <f aca="false">AND(E40&lt;&gt;"",F40&lt;=100,G40&gt;=2)</f>
        <v>1</v>
      </c>
    </row>
    <row r="41" customFormat="false" ht="15" hidden="false" customHeight="false" outlineLevel="0" collapsed="false">
      <c r="A41" s="1" t="s">
        <v>63</v>
      </c>
      <c r="B41" s="1" t="n">
        <f aca="false">VALUE(LEFT(A41,4))</f>
        <v>2020</v>
      </c>
      <c r="C41" s="1" t="n">
        <f aca="false">VALUE(RIGHT(A41,2))</f>
        <v>8</v>
      </c>
      <c r="D41" s="1" t="s">
        <v>44</v>
      </c>
      <c r="E41" s="1" t="n">
        <v>0.179555</v>
      </c>
      <c r="F41" s="1" t="n">
        <v>69.417</v>
      </c>
      <c r="G41" s="1" t="n">
        <v>9</v>
      </c>
      <c r="H41" s="4" t="b">
        <f aca="false">AND(E41&lt;&gt;"",F41&lt;=100,G41&gt;=2)</f>
        <v>1</v>
      </c>
    </row>
    <row r="42" customFormat="false" ht="15" hidden="false" customHeight="false" outlineLevel="0" collapsed="false">
      <c r="A42" s="1" t="s">
        <v>64</v>
      </c>
      <c r="B42" s="1" t="n">
        <f aca="false">VALUE(LEFT(A42,4))</f>
        <v>2020</v>
      </c>
      <c r="C42" s="1" t="n">
        <f aca="false">VALUE(RIGHT(A42,2))</f>
        <v>9</v>
      </c>
      <c r="D42" s="1" t="s">
        <v>43</v>
      </c>
      <c r="E42" s="1" t="n">
        <v>0.009632</v>
      </c>
      <c r="F42" s="1" t="n">
        <v>24.587</v>
      </c>
      <c r="G42" s="1" t="n">
        <v>9</v>
      </c>
      <c r="H42" s="4" t="b">
        <f aca="false">AND(E42&lt;&gt;"",F42&lt;=100,G42&gt;=2)</f>
        <v>1</v>
      </c>
    </row>
    <row r="43" customFormat="false" ht="15" hidden="false" customHeight="false" outlineLevel="0" collapsed="false">
      <c r="A43" s="1" t="s">
        <v>64</v>
      </c>
      <c r="B43" s="1" t="n">
        <f aca="false">VALUE(LEFT(A43,4))</f>
        <v>2020</v>
      </c>
      <c r="C43" s="1" t="n">
        <f aca="false">VALUE(RIGHT(A43,2))</f>
        <v>9</v>
      </c>
      <c r="D43" s="1" t="s">
        <v>44</v>
      </c>
      <c r="E43" s="1" t="n">
        <v>0.008594</v>
      </c>
      <c r="F43" s="1" t="n">
        <v>744.611</v>
      </c>
      <c r="G43" s="1" t="n">
        <v>9</v>
      </c>
      <c r="H43" s="4" t="b">
        <f aca="false">AND(E43&lt;&gt;"",F43&lt;=100,G43&gt;=2)</f>
        <v>0</v>
      </c>
    </row>
    <row r="44" customFormat="false" ht="15" hidden="false" customHeight="false" outlineLevel="0" collapsed="false">
      <c r="A44" s="1" t="s">
        <v>65</v>
      </c>
      <c r="B44" s="1" t="n">
        <f aca="false">VALUE(LEFT(A44,4))</f>
        <v>2020</v>
      </c>
      <c r="C44" s="1" t="n">
        <f aca="false">VALUE(RIGHT(A44,2))</f>
        <v>10</v>
      </c>
      <c r="D44" s="1" t="s">
        <v>43</v>
      </c>
      <c r="E44" s="1"/>
      <c r="F44" s="1"/>
      <c r="G44" s="1" t="n">
        <v>0</v>
      </c>
      <c r="H44" s="4" t="b">
        <f aca="false">AND(E44&lt;&gt;"",F44&lt;=100,G44&gt;=2)</f>
        <v>0</v>
      </c>
    </row>
    <row r="45" customFormat="false" ht="15" hidden="false" customHeight="false" outlineLevel="0" collapsed="false">
      <c r="A45" s="1" t="s">
        <v>65</v>
      </c>
      <c r="B45" s="1" t="n">
        <f aca="false">VALUE(LEFT(A45,4))</f>
        <v>2020</v>
      </c>
      <c r="C45" s="1" t="n">
        <f aca="false">VALUE(RIGHT(A45,2))</f>
        <v>10</v>
      </c>
      <c r="D45" s="1" t="s">
        <v>44</v>
      </c>
      <c r="E45" s="1"/>
      <c r="F45" s="1"/>
      <c r="G45" s="1" t="n">
        <v>0</v>
      </c>
      <c r="H45" s="4" t="b">
        <f aca="false">AND(E45&lt;&gt;"",F45&lt;=100,G45&gt;=2)</f>
        <v>0</v>
      </c>
    </row>
    <row r="46" customFormat="false" ht="15" hidden="false" customHeight="false" outlineLevel="0" collapsed="false">
      <c r="A46" s="1" t="s">
        <v>66</v>
      </c>
      <c r="B46" s="1" t="n">
        <f aca="false">VALUE(LEFT(A46,4))</f>
        <v>2020</v>
      </c>
      <c r="C46" s="1" t="n">
        <f aca="false">VALUE(RIGHT(A46,2))</f>
        <v>11</v>
      </c>
      <c r="D46" s="1" t="s">
        <v>43</v>
      </c>
      <c r="E46" s="1"/>
      <c r="F46" s="1"/>
      <c r="G46" s="1" t="n">
        <v>0</v>
      </c>
      <c r="H46" s="4" t="b">
        <f aca="false">AND(E46&lt;&gt;"",F46&lt;=100,G46&gt;=2)</f>
        <v>0</v>
      </c>
    </row>
    <row r="47" customFormat="false" ht="15" hidden="false" customHeight="false" outlineLevel="0" collapsed="false">
      <c r="A47" s="1" t="s">
        <v>66</v>
      </c>
      <c r="B47" s="1" t="n">
        <f aca="false">VALUE(LEFT(A47,4))</f>
        <v>2020</v>
      </c>
      <c r="C47" s="1" t="n">
        <f aca="false">VALUE(RIGHT(A47,2))</f>
        <v>11</v>
      </c>
      <c r="D47" s="1" t="s">
        <v>44</v>
      </c>
      <c r="E47" s="1"/>
      <c r="F47" s="1"/>
      <c r="G47" s="1" t="n">
        <v>0</v>
      </c>
      <c r="H47" s="4" t="b">
        <f aca="false">AND(E47&lt;&gt;"",F47&lt;=100,G47&gt;=2)</f>
        <v>0</v>
      </c>
    </row>
    <row r="48" customFormat="false" ht="15" hidden="false" customHeight="false" outlineLevel="0" collapsed="false">
      <c r="A48" s="1" t="s">
        <v>67</v>
      </c>
      <c r="B48" s="1" t="n">
        <f aca="false">VALUE(LEFT(A48,4))</f>
        <v>2020</v>
      </c>
      <c r="C48" s="1" t="n">
        <f aca="false">VALUE(RIGHT(A48,2))</f>
        <v>12</v>
      </c>
      <c r="D48" s="1" t="s">
        <v>43</v>
      </c>
      <c r="E48" s="1" t="n">
        <v>0.045619</v>
      </c>
      <c r="F48" s="1" t="n">
        <v>26.102</v>
      </c>
      <c r="G48" s="1" t="n">
        <v>4</v>
      </c>
      <c r="H48" s="4" t="b">
        <f aca="false">AND(E48&lt;&gt;"",F48&lt;=100,G48&gt;=2)</f>
        <v>1</v>
      </c>
    </row>
    <row r="49" customFormat="false" ht="15" hidden="false" customHeight="false" outlineLevel="0" collapsed="false">
      <c r="A49" s="1" t="s">
        <v>67</v>
      </c>
      <c r="B49" s="1" t="n">
        <f aca="false">VALUE(LEFT(A49,4))</f>
        <v>2020</v>
      </c>
      <c r="C49" s="1" t="n">
        <f aca="false">VALUE(RIGHT(A49,2))</f>
        <v>12</v>
      </c>
      <c r="D49" s="1" t="s">
        <v>44</v>
      </c>
      <c r="E49" s="1" t="n">
        <v>0.176099</v>
      </c>
      <c r="F49" s="1" t="n">
        <v>70.9</v>
      </c>
      <c r="G49" s="1" t="n">
        <v>4</v>
      </c>
      <c r="H49" s="4" t="b">
        <f aca="false">AND(E49&lt;&gt;"",F49&lt;=100,G49&gt;=2)</f>
        <v>1</v>
      </c>
    </row>
    <row r="50" customFormat="false" ht="15" hidden="false" customHeight="false" outlineLevel="0" collapsed="false">
      <c r="A50" s="1" t="s">
        <v>68</v>
      </c>
      <c r="B50" s="1" t="n">
        <f aca="false">VALUE(LEFT(A50,4))</f>
        <v>2021</v>
      </c>
      <c r="C50" s="1" t="n">
        <f aca="false">VALUE(RIGHT(A50,2))</f>
        <v>1</v>
      </c>
      <c r="D50" s="1" t="s">
        <v>43</v>
      </c>
      <c r="E50" s="1"/>
      <c r="F50" s="1"/>
      <c r="G50" s="1" t="n">
        <v>0</v>
      </c>
      <c r="H50" s="4" t="b">
        <f aca="false">AND(E50&lt;&gt;"",F50&lt;=100,G50&gt;=2)</f>
        <v>0</v>
      </c>
    </row>
    <row r="51" customFormat="false" ht="15" hidden="false" customHeight="false" outlineLevel="0" collapsed="false">
      <c r="A51" s="1" t="s">
        <v>68</v>
      </c>
      <c r="B51" s="1" t="n">
        <f aca="false">VALUE(LEFT(A51,4))</f>
        <v>2021</v>
      </c>
      <c r="C51" s="1" t="n">
        <f aca="false">VALUE(RIGHT(A51,2))</f>
        <v>1</v>
      </c>
      <c r="D51" s="1" t="s">
        <v>44</v>
      </c>
      <c r="E51" s="1"/>
      <c r="F51" s="1"/>
      <c r="G51" s="1" t="n">
        <v>0</v>
      </c>
      <c r="H51" s="4" t="b">
        <f aca="false">AND(E51&lt;&gt;"",F51&lt;=100,G51&gt;=2)</f>
        <v>0</v>
      </c>
    </row>
    <row r="52" customFormat="false" ht="15" hidden="false" customHeight="false" outlineLevel="0" collapsed="false">
      <c r="A52" s="1" t="s">
        <v>69</v>
      </c>
      <c r="B52" s="1" t="n">
        <f aca="false">VALUE(LEFT(A52,4))</f>
        <v>2021</v>
      </c>
      <c r="C52" s="1" t="n">
        <f aca="false">VALUE(RIGHT(A52,2))</f>
        <v>2</v>
      </c>
      <c r="D52" s="1" t="s">
        <v>43</v>
      </c>
      <c r="E52" s="1" t="n">
        <v>0.020831</v>
      </c>
      <c r="F52" s="1" t="n">
        <v>25.737</v>
      </c>
      <c r="G52" s="1" t="n">
        <v>13</v>
      </c>
      <c r="H52" s="4" t="b">
        <f aca="false">AND(E52&lt;&gt;"",F52&lt;=100,G52&gt;=2)</f>
        <v>1</v>
      </c>
    </row>
    <row r="53" customFormat="false" ht="15" hidden="false" customHeight="false" outlineLevel="0" collapsed="false">
      <c r="A53" s="1" t="s">
        <v>69</v>
      </c>
      <c r="B53" s="1" t="n">
        <f aca="false">VALUE(LEFT(A53,4))</f>
        <v>2021</v>
      </c>
      <c r="C53" s="1" t="n">
        <f aca="false">VALUE(RIGHT(A53,2))</f>
        <v>2</v>
      </c>
      <c r="D53" s="1" t="s">
        <v>44</v>
      </c>
      <c r="E53" s="1" t="n">
        <v>0.006362</v>
      </c>
      <c r="F53" s="1" t="n">
        <v>787.215</v>
      </c>
      <c r="G53" s="1" t="n">
        <v>13</v>
      </c>
      <c r="H53" s="4" t="b">
        <f aca="false">AND(E53&lt;&gt;"",F53&lt;=100,G53&gt;=2)</f>
        <v>0</v>
      </c>
    </row>
    <row r="54" customFormat="false" ht="15" hidden="false" customHeight="false" outlineLevel="0" collapsed="false">
      <c r="A54" s="1" t="s">
        <v>70</v>
      </c>
      <c r="B54" s="1" t="n">
        <f aca="false">VALUE(LEFT(A54,4))</f>
        <v>2021</v>
      </c>
      <c r="C54" s="1" t="n">
        <f aca="false">VALUE(RIGHT(A54,2))</f>
        <v>3</v>
      </c>
      <c r="D54" s="1" t="s">
        <v>43</v>
      </c>
      <c r="E54" s="1" t="n">
        <v>0.025065</v>
      </c>
      <c r="F54" s="1" t="n">
        <v>32.845</v>
      </c>
      <c r="G54" s="1" t="n">
        <v>8</v>
      </c>
      <c r="H54" s="4" t="b">
        <f aca="false">AND(E54&lt;&gt;"",F54&lt;=100,G54&gt;=2)</f>
        <v>1</v>
      </c>
    </row>
    <row r="55" customFormat="false" ht="15" hidden="false" customHeight="false" outlineLevel="0" collapsed="false">
      <c r="A55" s="1" t="s">
        <v>70</v>
      </c>
      <c r="B55" s="1" t="n">
        <f aca="false">VALUE(LEFT(A55,4))</f>
        <v>2021</v>
      </c>
      <c r="C55" s="1" t="n">
        <f aca="false">VALUE(RIGHT(A55,2))</f>
        <v>3</v>
      </c>
      <c r="D55" s="1" t="s">
        <v>44</v>
      </c>
      <c r="E55" s="1" t="n">
        <v>0.009834</v>
      </c>
      <c r="F55" s="1" t="n">
        <v>745.471</v>
      </c>
      <c r="G55" s="1" t="n">
        <v>8</v>
      </c>
      <c r="H55" s="4" t="b">
        <f aca="false">AND(E55&lt;&gt;"",F55&lt;=100,G55&gt;=2)</f>
        <v>0</v>
      </c>
    </row>
    <row r="56" customFormat="false" ht="15" hidden="false" customHeight="false" outlineLevel="0" collapsed="false">
      <c r="A56" s="1" t="s">
        <v>71</v>
      </c>
      <c r="B56" s="1" t="n">
        <f aca="false">VALUE(LEFT(A56,4))</f>
        <v>2021</v>
      </c>
      <c r="C56" s="1" t="n">
        <f aca="false">VALUE(RIGHT(A56,2))</f>
        <v>4</v>
      </c>
      <c r="D56" s="1" t="s">
        <v>43</v>
      </c>
      <c r="E56" s="1" t="n">
        <v>0.024697</v>
      </c>
      <c r="F56" s="1" t="n">
        <v>23.68</v>
      </c>
      <c r="G56" s="1" t="n">
        <v>13</v>
      </c>
      <c r="H56" s="4" t="b">
        <f aca="false">AND(E56&lt;&gt;"",F56&lt;=100,G56&gt;=2)</f>
        <v>1</v>
      </c>
    </row>
    <row r="57" customFormat="false" ht="15" hidden="false" customHeight="false" outlineLevel="0" collapsed="false">
      <c r="A57" s="1" t="s">
        <v>71</v>
      </c>
      <c r="B57" s="1" t="n">
        <f aca="false">VALUE(LEFT(A57,4))</f>
        <v>2021</v>
      </c>
      <c r="C57" s="1" t="n">
        <f aca="false">VALUE(RIGHT(A57,2))</f>
        <v>4</v>
      </c>
      <c r="D57" s="1" t="s">
        <v>44</v>
      </c>
      <c r="E57" s="1" t="n">
        <v>0.010737</v>
      </c>
      <c r="F57" s="1" t="n">
        <v>922.031</v>
      </c>
      <c r="G57" s="1" t="n">
        <v>13</v>
      </c>
      <c r="H57" s="4" t="b">
        <f aca="false">AND(E57&lt;&gt;"",F57&lt;=100,G57&gt;=2)</f>
        <v>0</v>
      </c>
    </row>
    <row r="58" customFormat="false" ht="15" hidden="false" customHeight="false" outlineLevel="0" collapsed="false">
      <c r="A58" s="1" t="s">
        <v>72</v>
      </c>
      <c r="B58" s="1" t="n">
        <f aca="false">VALUE(LEFT(A58,4))</f>
        <v>2021</v>
      </c>
      <c r="C58" s="1" t="n">
        <f aca="false">VALUE(RIGHT(A58,2))</f>
        <v>5</v>
      </c>
      <c r="D58" s="1" t="s">
        <v>43</v>
      </c>
      <c r="E58" s="1" t="n">
        <v>-0.000285</v>
      </c>
      <c r="F58" s="1" t="n">
        <v>12.98</v>
      </c>
      <c r="G58" s="1" t="n">
        <v>8</v>
      </c>
      <c r="H58" s="4" t="b">
        <f aca="false">AND(E58&lt;&gt;"",F58&lt;=100,G58&gt;=2)</f>
        <v>1</v>
      </c>
    </row>
    <row r="59" customFormat="false" ht="15" hidden="false" customHeight="false" outlineLevel="0" collapsed="false">
      <c r="A59" s="1" t="s">
        <v>72</v>
      </c>
      <c r="B59" s="1" t="n">
        <f aca="false">VALUE(LEFT(A59,4))</f>
        <v>2021</v>
      </c>
      <c r="C59" s="1" t="n">
        <f aca="false">VALUE(RIGHT(A59,2))</f>
        <v>5</v>
      </c>
      <c r="D59" s="1" t="s">
        <v>44</v>
      </c>
      <c r="E59" s="1" t="n">
        <v>0.011645</v>
      </c>
      <c r="F59" s="1" t="n">
        <v>686.28</v>
      </c>
      <c r="G59" s="1" t="n">
        <v>8</v>
      </c>
      <c r="H59" s="4" t="b">
        <f aca="false">AND(E59&lt;&gt;"",F59&lt;=100,G59&gt;=2)</f>
        <v>0</v>
      </c>
    </row>
    <row r="60" customFormat="false" ht="15" hidden="false" customHeight="false" outlineLevel="0" collapsed="false">
      <c r="A60" s="1" t="s">
        <v>73</v>
      </c>
      <c r="B60" s="1" t="n">
        <f aca="false">VALUE(LEFT(A60,4))</f>
        <v>2021</v>
      </c>
      <c r="C60" s="1" t="n">
        <f aca="false">VALUE(RIGHT(A60,2))</f>
        <v>6</v>
      </c>
      <c r="D60" s="1" t="s">
        <v>43</v>
      </c>
      <c r="E60" s="1" t="n">
        <v>-0.00775</v>
      </c>
      <c r="F60" s="1" t="n">
        <v>8.859</v>
      </c>
      <c r="G60" s="1" t="n">
        <v>10</v>
      </c>
      <c r="H60" s="4" t="b">
        <f aca="false">AND(E60&lt;&gt;"",F60&lt;=100,G60&gt;=2)</f>
        <v>1</v>
      </c>
    </row>
    <row r="61" customFormat="false" ht="15" hidden="false" customHeight="false" outlineLevel="0" collapsed="false">
      <c r="A61" s="1" t="s">
        <v>73</v>
      </c>
      <c r="B61" s="1" t="n">
        <f aca="false">VALUE(LEFT(A61,4))</f>
        <v>2021</v>
      </c>
      <c r="C61" s="1" t="n">
        <f aca="false">VALUE(RIGHT(A61,2))</f>
        <v>6</v>
      </c>
      <c r="D61" s="1" t="s">
        <v>44</v>
      </c>
      <c r="E61" s="1" t="n">
        <v>0.005205</v>
      </c>
      <c r="F61" s="1" t="n">
        <v>933.249</v>
      </c>
      <c r="G61" s="1" t="n">
        <v>10</v>
      </c>
      <c r="H61" s="4" t="b">
        <f aca="false">AND(E61&lt;&gt;"",F61&lt;=100,G61&gt;=2)</f>
        <v>0</v>
      </c>
    </row>
    <row r="62" customFormat="false" ht="15" hidden="false" customHeight="false" outlineLevel="0" collapsed="false">
      <c r="A62" s="1" t="s">
        <v>74</v>
      </c>
      <c r="B62" s="1" t="n">
        <f aca="false">VALUE(LEFT(A62,4))</f>
        <v>2021</v>
      </c>
      <c r="C62" s="1" t="n">
        <f aca="false">VALUE(RIGHT(A62,2))</f>
        <v>7</v>
      </c>
      <c r="D62" s="1" t="s">
        <v>43</v>
      </c>
      <c r="E62" s="1" t="n">
        <v>0.032528</v>
      </c>
      <c r="F62" s="1" t="n">
        <v>23.891</v>
      </c>
      <c r="G62" s="1" t="n">
        <v>7</v>
      </c>
      <c r="H62" s="4" t="b">
        <f aca="false">AND(E62&lt;&gt;"",F62&lt;=100,G62&gt;=2)</f>
        <v>1</v>
      </c>
    </row>
    <row r="63" customFormat="false" ht="15" hidden="false" customHeight="false" outlineLevel="0" collapsed="false">
      <c r="A63" s="1" t="s">
        <v>74</v>
      </c>
      <c r="B63" s="1" t="n">
        <f aca="false">VALUE(LEFT(A63,4))</f>
        <v>2021</v>
      </c>
      <c r="C63" s="1" t="n">
        <f aca="false">VALUE(RIGHT(A63,2))</f>
        <v>7</v>
      </c>
      <c r="D63" s="1" t="s">
        <v>44</v>
      </c>
      <c r="E63" s="1"/>
      <c r="F63" s="1"/>
      <c r="G63" s="1" t="n">
        <v>7</v>
      </c>
      <c r="H63" s="4" t="b">
        <f aca="false">AND(E63&lt;&gt;"",F63&lt;=100,G63&gt;=2)</f>
        <v>0</v>
      </c>
    </row>
    <row r="64" customFormat="false" ht="15" hidden="false" customHeight="false" outlineLevel="0" collapsed="false">
      <c r="A64" s="1" t="s">
        <v>75</v>
      </c>
      <c r="B64" s="1" t="n">
        <f aca="false">VALUE(LEFT(A64,4))</f>
        <v>2021</v>
      </c>
      <c r="C64" s="1" t="n">
        <f aca="false">VALUE(RIGHT(A64,2))</f>
        <v>8</v>
      </c>
      <c r="D64" s="1" t="s">
        <v>43</v>
      </c>
      <c r="E64" s="1" t="n">
        <v>0.038528</v>
      </c>
      <c r="F64" s="1" t="n">
        <v>56.644</v>
      </c>
      <c r="G64" s="1" t="n">
        <v>6</v>
      </c>
      <c r="H64" s="4" t="b">
        <f aca="false">AND(E64&lt;&gt;"",F64&lt;=100,G64&gt;=2)</f>
        <v>1</v>
      </c>
    </row>
    <row r="65" customFormat="false" ht="15" hidden="false" customHeight="false" outlineLevel="0" collapsed="false">
      <c r="A65" s="1" t="s">
        <v>75</v>
      </c>
      <c r="B65" s="1" t="n">
        <f aca="false">VALUE(LEFT(A65,4))</f>
        <v>2021</v>
      </c>
      <c r="C65" s="1" t="n">
        <f aca="false">VALUE(RIGHT(A65,2))</f>
        <v>8</v>
      </c>
      <c r="D65" s="1" t="s">
        <v>44</v>
      </c>
      <c r="E65" s="1" t="n">
        <v>0.019558</v>
      </c>
      <c r="F65" s="1" t="n">
        <v>580.588</v>
      </c>
      <c r="G65" s="1" t="n">
        <v>6</v>
      </c>
      <c r="H65" s="4" t="b">
        <f aca="false">AND(E65&lt;&gt;"",F65&lt;=100,G65&gt;=2)</f>
        <v>0</v>
      </c>
    </row>
    <row r="66" customFormat="false" ht="15" hidden="false" customHeight="false" outlineLevel="0" collapsed="false">
      <c r="A66" s="1" t="s">
        <v>76</v>
      </c>
      <c r="B66" s="1" t="n">
        <f aca="false">VALUE(LEFT(A66,4))</f>
        <v>2021</v>
      </c>
      <c r="C66" s="1" t="n">
        <f aca="false">VALUE(RIGHT(A66,2))</f>
        <v>9</v>
      </c>
      <c r="D66" s="1" t="s">
        <v>43</v>
      </c>
      <c r="E66" s="1" t="n">
        <v>0.032285</v>
      </c>
      <c r="F66" s="1" t="n">
        <v>38.358</v>
      </c>
      <c r="G66" s="1" t="n">
        <v>5</v>
      </c>
      <c r="H66" s="4" t="b">
        <f aca="false">AND(E66&lt;&gt;"",F66&lt;=100,G66&gt;=2)</f>
        <v>1</v>
      </c>
    </row>
    <row r="67" customFormat="false" ht="15" hidden="false" customHeight="false" outlineLevel="0" collapsed="false">
      <c r="A67" s="1" t="s">
        <v>76</v>
      </c>
      <c r="B67" s="1" t="n">
        <f aca="false">VALUE(LEFT(A67,4))</f>
        <v>2021</v>
      </c>
      <c r="C67" s="1" t="n">
        <f aca="false">VALUE(RIGHT(A67,2))</f>
        <v>9</v>
      </c>
      <c r="D67" s="1" t="s">
        <v>44</v>
      </c>
      <c r="E67" s="1" t="n">
        <v>0.18239</v>
      </c>
      <c r="F67" s="1" t="n">
        <v>70.067</v>
      </c>
      <c r="G67" s="1" t="n">
        <v>5</v>
      </c>
      <c r="H67" s="4" t="b">
        <f aca="false">AND(E67&lt;&gt;"",F67&lt;=100,G67&gt;=2)</f>
        <v>1</v>
      </c>
    </row>
    <row r="68" customFormat="false" ht="15" hidden="false" customHeight="false" outlineLevel="0" collapsed="false">
      <c r="A68" s="1" t="s">
        <v>77</v>
      </c>
      <c r="B68" s="1" t="n">
        <f aca="false">VALUE(LEFT(A68,4))</f>
        <v>2021</v>
      </c>
      <c r="C68" s="1" t="n">
        <f aca="false">VALUE(RIGHT(A68,2))</f>
        <v>10</v>
      </c>
      <c r="D68" s="1" t="s">
        <v>43</v>
      </c>
      <c r="E68" s="1" t="n">
        <v>-0.005376</v>
      </c>
      <c r="F68" s="1" t="n">
        <v>15.165</v>
      </c>
      <c r="G68" s="1" t="n">
        <v>13</v>
      </c>
      <c r="H68" s="4" t="b">
        <f aca="false">AND(E68&lt;&gt;"",F68&lt;=100,G68&gt;=2)</f>
        <v>1</v>
      </c>
    </row>
    <row r="69" customFormat="false" ht="15" hidden="false" customHeight="false" outlineLevel="0" collapsed="false">
      <c r="A69" s="1" t="s">
        <v>77</v>
      </c>
      <c r="B69" s="1" t="n">
        <f aca="false">VALUE(LEFT(A69,4))</f>
        <v>2021</v>
      </c>
      <c r="C69" s="1" t="n">
        <f aca="false">VALUE(RIGHT(A69,2))</f>
        <v>10</v>
      </c>
      <c r="D69" s="1" t="s">
        <v>44</v>
      </c>
      <c r="E69" s="1" t="n">
        <v>0.142985</v>
      </c>
      <c r="F69" s="1" t="n">
        <v>56.675</v>
      </c>
      <c r="G69" s="1" t="n">
        <v>13</v>
      </c>
      <c r="H69" s="4" t="b">
        <f aca="false">AND(E69&lt;&gt;"",F69&lt;=100,G69&gt;=2)</f>
        <v>1</v>
      </c>
    </row>
    <row r="70" customFormat="false" ht="15" hidden="false" customHeight="false" outlineLevel="0" collapsed="false">
      <c r="A70" s="1" t="s">
        <v>78</v>
      </c>
      <c r="B70" s="1" t="n">
        <f aca="false">VALUE(LEFT(A70,4))</f>
        <v>2021</v>
      </c>
      <c r="C70" s="1" t="n">
        <f aca="false">VALUE(RIGHT(A70,2))</f>
        <v>11</v>
      </c>
      <c r="D70" s="1" t="s">
        <v>43</v>
      </c>
      <c r="E70" s="1" t="n">
        <v>0.021357</v>
      </c>
      <c r="F70" s="1" t="n">
        <v>24.354</v>
      </c>
      <c r="G70" s="1" t="n">
        <v>3</v>
      </c>
      <c r="H70" s="4" t="b">
        <f aca="false">AND(E70&lt;&gt;"",F70&lt;=100,G70&gt;=2)</f>
        <v>1</v>
      </c>
    </row>
    <row r="71" customFormat="false" ht="15" hidden="false" customHeight="false" outlineLevel="0" collapsed="false">
      <c r="A71" s="1" t="s">
        <v>78</v>
      </c>
      <c r="B71" s="1" t="n">
        <f aca="false">VALUE(LEFT(A71,4))</f>
        <v>2021</v>
      </c>
      <c r="C71" s="1" t="n">
        <f aca="false">VALUE(RIGHT(A71,2))</f>
        <v>11</v>
      </c>
      <c r="D71" s="1" t="s">
        <v>44</v>
      </c>
      <c r="E71" s="1"/>
      <c r="F71" s="1"/>
      <c r="G71" s="1" t="n">
        <v>3</v>
      </c>
      <c r="H71" s="4" t="b">
        <f aca="false">AND(E71&lt;&gt;"",F71&lt;=100,G71&gt;=2)</f>
        <v>0</v>
      </c>
    </row>
    <row r="72" customFormat="false" ht="15" hidden="false" customHeight="false" outlineLevel="0" collapsed="false">
      <c r="A72" s="1" t="s">
        <v>79</v>
      </c>
      <c r="B72" s="1" t="n">
        <f aca="false">VALUE(LEFT(A72,4))</f>
        <v>2021</v>
      </c>
      <c r="C72" s="1" t="n">
        <f aca="false">VALUE(RIGHT(A72,2))</f>
        <v>12</v>
      </c>
      <c r="D72" s="1" t="s">
        <v>43</v>
      </c>
      <c r="E72" s="1"/>
      <c r="F72" s="1"/>
      <c r="G72" s="1" t="n">
        <v>4</v>
      </c>
      <c r="H72" s="4" t="b">
        <f aca="false">AND(E72&lt;&gt;"",F72&lt;=100,G72&gt;=2)</f>
        <v>0</v>
      </c>
    </row>
    <row r="73" customFormat="false" ht="15" hidden="false" customHeight="false" outlineLevel="0" collapsed="false">
      <c r="A73" s="1" t="s">
        <v>79</v>
      </c>
      <c r="B73" s="1" t="n">
        <f aca="false">VALUE(LEFT(A73,4))</f>
        <v>2021</v>
      </c>
      <c r="C73" s="1" t="n">
        <f aca="false">VALUE(RIGHT(A73,2))</f>
        <v>12</v>
      </c>
      <c r="D73" s="1" t="s">
        <v>44</v>
      </c>
      <c r="E73" s="1" t="n">
        <v>0.005646</v>
      </c>
      <c r="F73" s="1" t="n">
        <v>614.669</v>
      </c>
      <c r="G73" s="1" t="n">
        <v>4</v>
      </c>
      <c r="H73" s="4" t="b">
        <f aca="false">AND(E73&lt;&gt;"",F73&lt;=100,G73&gt;=2)</f>
        <v>0</v>
      </c>
    </row>
    <row r="74" customFormat="false" ht="15" hidden="false" customHeight="false" outlineLevel="0" collapsed="false">
      <c r="A74" s="1" t="s">
        <v>80</v>
      </c>
      <c r="B74" s="1" t="n">
        <f aca="false">VALUE(LEFT(A74,4))</f>
        <v>2022</v>
      </c>
      <c r="C74" s="1" t="n">
        <f aca="false">VALUE(RIGHT(A74,2))</f>
        <v>1</v>
      </c>
      <c r="D74" s="1" t="s">
        <v>43</v>
      </c>
      <c r="E74" s="1" t="n">
        <v>0.012193</v>
      </c>
      <c r="F74" s="1" t="n">
        <v>16.167</v>
      </c>
      <c r="G74" s="1" t="n">
        <v>11</v>
      </c>
      <c r="H74" s="4" t="b">
        <f aca="false">AND(E74&lt;&gt;"",F74&lt;=100,G74&gt;=2)</f>
        <v>1</v>
      </c>
    </row>
    <row r="75" customFormat="false" ht="15" hidden="false" customHeight="false" outlineLevel="0" collapsed="false">
      <c r="A75" s="1" t="s">
        <v>80</v>
      </c>
      <c r="B75" s="1" t="n">
        <f aca="false">VALUE(LEFT(A75,4))</f>
        <v>2022</v>
      </c>
      <c r="C75" s="1" t="n">
        <f aca="false">VALUE(RIGHT(A75,2))</f>
        <v>1</v>
      </c>
      <c r="D75" s="1" t="s">
        <v>44</v>
      </c>
      <c r="E75" s="1" t="n">
        <v>0.005405</v>
      </c>
      <c r="F75" s="1" t="n">
        <v>509.92</v>
      </c>
      <c r="G75" s="1" t="n">
        <v>11</v>
      </c>
      <c r="H75" s="4" t="b">
        <f aca="false">AND(E75&lt;&gt;"",F75&lt;=100,G75&gt;=2)</f>
        <v>0</v>
      </c>
    </row>
    <row r="76" customFormat="false" ht="15" hidden="false" customHeight="false" outlineLevel="0" collapsed="false">
      <c r="A76" s="1" t="s">
        <v>81</v>
      </c>
      <c r="B76" s="1" t="n">
        <f aca="false">VALUE(LEFT(A76,4))</f>
        <v>2022</v>
      </c>
      <c r="C76" s="1" t="n">
        <f aca="false">VALUE(RIGHT(A76,2))</f>
        <v>2</v>
      </c>
      <c r="D76" s="1" t="s">
        <v>43</v>
      </c>
      <c r="E76" s="1" t="n">
        <v>0.027284</v>
      </c>
      <c r="F76" s="1" t="n">
        <v>10.786</v>
      </c>
      <c r="G76" s="1" t="n">
        <v>3</v>
      </c>
      <c r="H76" s="4" t="b">
        <f aca="false">AND(E76&lt;&gt;"",F76&lt;=100,G76&gt;=2)</f>
        <v>1</v>
      </c>
    </row>
    <row r="77" customFormat="false" ht="15" hidden="false" customHeight="false" outlineLevel="0" collapsed="false">
      <c r="A77" s="1" t="s">
        <v>81</v>
      </c>
      <c r="B77" s="1" t="n">
        <f aca="false">VALUE(LEFT(A77,4))</f>
        <v>2022</v>
      </c>
      <c r="C77" s="1" t="n">
        <f aca="false">VALUE(RIGHT(A77,2))</f>
        <v>2</v>
      </c>
      <c r="D77" s="1" t="s">
        <v>44</v>
      </c>
      <c r="E77" s="1" t="n">
        <v>0.143487</v>
      </c>
      <c r="F77" s="1" t="n">
        <v>46.133</v>
      </c>
      <c r="G77" s="1" t="n">
        <v>3</v>
      </c>
      <c r="H77" s="4" t="b">
        <f aca="false">AND(E77&lt;&gt;"",F77&lt;=100,G77&gt;=2)</f>
        <v>1</v>
      </c>
    </row>
    <row r="78" customFormat="false" ht="15" hidden="false" customHeight="false" outlineLevel="0" collapsed="false">
      <c r="A78" s="1" t="s">
        <v>82</v>
      </c>
      <c r="B78" s="1" t="n">
        <f aca="false">VALUE(LEFT(A78,4))</f>
        <v>2022</v>
      </c>
      <c r="C78" s="1" t="n">
        <f aca="false">VALUE(RIGHT(A78,2))</f>
        <v>3</v>
      </c>
      <c r="D78" s="1" t="s">
        <v>43</v>
      </c>
      <c r="E78" s="1" t="n">
        <v>-8E-006</v>
      </c>
      <c r="F78" s="1" t="n">
        <v>14.633</v>
      </c>
      <c r="G78" s="1" t="n">
        <v>13</v>
      </c>
      <c r="H78" s="4" t="b">
        <f aca="false">AND(E78&lt;&gt;"",F78&lt;=100,G78&gt;=2)</f>
        <v>1</v>
      </c>
    </row>
    <row r="79" customFormat="false" ht="15" hidden="false" customHeight="false" outlineLevel="0" collapsed="false">
      <c r="A79" s="1" t="s">
        <v>82</v>
      </c>
      <c r="B79" s="1" t="n">
        <f aca="false">VALUE(LEFT(A79,4))</f>
        <v>2022</v>
      </c>
      <c r="C79" s="1" t="n">
        <f aca="false">VALUE(RIGHT(A79,2))</f>
        <v>3</v>
      </c>
      <c r="D79" s="1" t="s">
        <v>44</v>
      </c>
      <c r="E79" s="1" t="n">
        <v>-0.006954</v>
      </c>
      <c r="F79" s="1" t="n">
        <v>72.4</v>
      </c>
      <c r="G79" s="1" t="n">
        <v>13</v>
      </c>
      <c r="H79" s="4" t="b">
        <f aca="false">AND(E79&lt;&gt;"",F79&lt;=100,G79&gt;=2)</f>
        <v>1</v>
      </c>
    </row>
    <row r="80" customFormat="false" ht="15" hidden="false" customHeight="false" outlineLevel="0" collapsed="false">
      <c r="A80" s="1" t="s">
        <v>83</v>
      </c>
      <c r="B80" s="1" t="n">
        <f aca="false">VALUE(LEFT(A80,4))</f>
        <v>2022</v>
      </c>
      <c r="C80" s="1" t="n">
        <f aca="false">VALUE(RIGHT(A80,2))</f>
        <v>4</v>
      </c>
      <c r="D80" s="1" t="s">
        <v>43</v>
      </c>
      <c r="E80" s="1"/>
      <c r="F80" s="1"/>
      <c r="G80" s="1" t="n">
        <v>6</v>
      </c>
      <c r="H80" s="4" t="b">
        <f aca="false">AND(E80&lt;&gt;"",F80&lt;=100,G80&gt;=2)</f>
        <v>0</v>
      </c>
    </row>
    <row r="81" customFormat="false" ht="15" hidden="false" customHeight="false" outlineLevel="0" collapsed="false">
      <c r="A81" s="1" t="s">
        <v>83</v>
      </c>
      <c r="B81" s="1" t="n">
        <f aca="false">VALUE(LEFT(A81,4))</f>
        <v>2022</v>
      </c>
      <c r="C81" s="1" t="n">
        <f aca="false">VALUE(RIGHT(A81,2))</f>
        <v>4</v>
      </c>
      <c r="D81" s="1" t="s">
        <v>44</v>
      </c>
      <c r="E81" s="1" t="n">
        <v>0.102519</v>
      </c>
      <c r="F81" s="1" t="n">
        <v>72.6</v>
      </c>
      <c r="G81" s="1" t="n">
        <v>6</v>
      </c>
      <c r="H81" s="4" t="b">
        <f aca="false">AND(E81&lt;&gt;"",F81&lt;=100,G81&gt;=2)</f>
        <v>1</v>
      </c>
    </row>
    <row r="82" customFormat="false" ht="15" hidden="false" customHeight="false" outlineLevel="0" collapsed="false">
      <c r="A82" s="1" t="s">
        <v>84</v>
      </c>
      <c r="B82" s="1" t="n">
        <f aca="false">VALUE(LEFT(A82,4))</f>
        <v>2022</v>
      </c>
      <c r="C82" s="1" t="n">
        <f aca="false">VALUE(RIGHT(A82,2))</f>
        <v>5</v>
      </c>
      <c r="D82" s="1" t="s">
        <v>43</v>
      </c>
      <c r="E82" s="1" t="n">
        <v>0.020702</v>
      </c>
      <c r="F82" s="1" t="n">
        <v>18.352</v>
      </c>
      <c r="G82" s="1" t="n">
        <v>7</v>
      </c>
      <c r="H82" s="4" t="b">
        <f aca="false">AND(E82&lt;&gt;"",F82&lt;=100,G82&gt;=2)</f>
        <v>1</v>
      </c>
    </row>
    <row r="83" customFormat="false" ht="15" hidden="false" customHeight="false" outlineLevel="0" collapsed="false">
      <c r="A83" s="1" t="s">
        <v>84</v>
      </c>
      <c r="B83" s="1" t="n">
        <f aca="false">VALUE(LEFT(A83,4))</f>
        <v>2022</v>
      </c>
      <c r="C83" s="1" t="n">
        <f aca="false">VALUE(RIGHT(A83,2))</f>
        <v>5</v>
      </c>
      <c r="D83" s="1" t="s">
        <v>44</v>
      </c>
      <c r="E83" s="1" t="n">
        <v>0.020118</v>
      </c>
      <c r="F83" s="1" t="n">
        <v>403.586</v>
      </c>
      <c r="G83" s="1" t="n">
        <v>7</v>
      </c>
      <c r="H83" s="4" t="b">
        <f aca="false">AND(E83&lt;&gt;"",F83&lt;=100,G83&gt;=2)</f>
        <v>0</v>
      </c>
    </row>
    <row r="84" customFormat="false" ht="15" hidden="false" customHeight="false" outlineLevel="0" collapsed="false">
      <c r="A84" s="1" t="s">
        <v>85</v>
      </c>
      <c r="B84" s="1" t="n">
        <f aca="false">VALUE(LEFT(A84,4))</f>
        <v>2022</v>
      </c>
      <c r="C84" s="1" t="n">
        <f aca="false">VALUE(RIGHT(A84,2))</f>
        <v>6</v>
      </c>
      <c r="D84" s="1" t="s">
        <v>43</v>
      </c>
      <c r="E84" s="1"/>
      <c r="F84" s="1"/>
      <c r="G84" s="1" t="n">
        <v>3</v>
      </c>
      <c r="H84" s="4" t="b">
        <f aca="false">AND(E84&lt;&gt;"",F84&lt;=100,G84&gt;=2)</f>
        <v>0</v>
      </c>
    </row>
    <row r="85" customFormat="false" ht="15" hidden="false" customHeight="false" outlineLevel="0" collapsed="false">
      <c r="A85" s="1" t="s">
        <v>85</v>
      </c>
      <c r="B85" s="1" t="n">
        <f aca="false">VALUE(LEFT(A85,4))</f>
        <v>2022</v>
      </c>
      <c r="C85" s="1" t="n">
        <f aca="false">VALUE(RIGHT(A85,2))</f>
        <v>6</v>
      </c>
      <c r="D85" s="1" t="s">
        <v>44</v>
      </c>
      <c r="E85" s="1" t="n">
        <v>0.143939</v>
      </c>
      <c r="F85" s="1" t="n">
        <v>68.717</v>
      </c>
      <c r="G85" s="1" t="n">
        <v>3</v>
      </c>
      <c r="H85" s="4" t="b">
        <f aca="false">AND(E85&lt;&gt;"",F85&lt;=100,G85&gt;=2)</f>
        <v>1</v>
      </c>
    </row>
    <row r="86" customFormat="false" ht="15" hidden="false" customHeight="false" outlineLevel="0" collapsed="false">
      <c r="A86" s="1" t="s">
        <v>86</v>
      </c>
      <c r="B86" s="1" t="n">
        <f aca="false">VALUE(LEFT(A86,4))</f>
        <v>2022</v>
      </c>
      <c r="C86" s="1" t="n">
        <f aca="false">VALUE(RIGHT(A86,2))</f>
        <v>7</v>
      </c>
      <c r="D86" s="1" t="s">
        <v>43</v>
      </c>
      <c r="E86" s="1" t="n">
        <v>0.05341</v>
      </c>
      <c r="F86" s="1" t="n">
        <v>15.67</v>
      </c>
      <c r="G86" s="1" t="n">
        <v>6</v>
      </c>
      <c r="H86" s="4" t="b">
        <f aca="false">AND(E86&lt;&gt;"",F86&lt;=100,G86&gt;=2)</f>
        <v>1</v>
      </c>
    </row>
    <row r="87" customFormat="false" ht="15" hidden="false" customHeight="false" outlineLevel="0" collapsed="false">
      <c r="A87" s="1" t="s">
        <v>86</v>
      </c>
      <c r="B87" s="1" t="n">
        <f aca="false">VALUE(LEFT(A87,4))</f>
        <v>2022</v>
      </c>
      <c r="C87" s="1" t="n">
        <f aca="false">VALUE(RIGHT(A87,2))</f>
        <v>7</v>
      </c>
      <c r="D87" s="1" t="s">
        <v>44</v>
      </c>
      <c r="E87" s="1" t="n">
        <v>0.331337</v>
      </c>
      <c r="F87" s="1" t="n">
        <v>67</v>
      </c>
      <c r="G87" s="1" t="n">
        <v>6</v>
      </c>
      <c r="H87" s="4" t="b">
        <f aca="false">AND(E87&lt;&gt;"",F87&lt;=100,G87&gt;=2)</f>
        <v>1</v>
      </c>
    </row>
    <row r="88" customFormat="false" ht="15" hidden="false" customHeight="false" outlineLevel="0" collapsed="false">
      <c r="A88" s="1" t="s">
        <v>87</v>
      </c>
      <c r="B88" s="1" t="n">
        <f aca="false">VALUE(LEFT(A88,4))</f>
        <v>2022</v>
      </c>
      <c r="C88" s="1" t="n">
        <f aca="false">VALUE(RIGHT(A88,2))</f>
        <v>8</v>
      </c>
      <c r="D88" s="1" t="s">
        <v>43</v>
      </c>
      <c r="E88" s="1" t="n">
        <v>0.028316</v>
      </c>
      <c r="F88" s="1" t="n">
        <v>10.479</v>
      </c>
      <c r="G88" s="1" t="n">
        <v>12</v>
      </c>
      <c r="H88" s="4" t="b">
        <f aca="false">AND(E88&lt;&gt;"",F88&lt;=100,G88&gt;=2)</f>
        <v>1</v>
      </c>
    </row>
    <row r="89" customFormat="false" ht="15" hidden="false" customHeight="false" outlineLevel="0" collapsed="false">
      <c r="A89" s="1" t="s">
        <v>87</v>
      </c>
      <c r="B89" s="1" t="n">
        <f aca="false">VALUE(LEFT(A89,4))</f>
        <v>2022</v>
      </c>
      <c r="C89" s="1" t="n">
        <f aca="false">VALUE(RIGHT(A89,2))</f>
        <v>8</v>
      </c>
      <c r="D89" s="1" t="s">
        <v>44</v>
      </c>
      <c r="E89" s="1" t="n">
        <v>0.020924</v>
      </c>
      <c r="F89" s="1" t="n">
        <v>146.169</v>
      </c>
      <c r="G89" s="1" t="n">
        <v>12</v>
      </c>
      <c r="H89" s="4" t="b">
        <f aca="false">AND(E89&lt;&gt;"",F89&lt;=100,G89&gt;=2)</f>
        <v>0</v>
      </c>
    </row>
    <row r="90" customFormat="false" ht="15" hidden="false" customHeight="false" outlineLevel="0" collapsed="false">
      <c r="A90" s="1" t="s">
        <v>88</v>
      </c>
      <c r="B90" s="1" t="n">
        <f aca="false">VALUE(LEFT(A90,4))</f>
        <v>2022</v>
      </c>
      <c r="C90" s="1" t="n">
        <f aca="false">VALUE(RIGHT(A90,2))</f>
        <v>9</v>
      </c>
      <c r="D90" s="1" t="s">
        <v>43</v>
      </c>
      <c r="E90" s="1"/>
      <c r="F90" s="1"/>
      <c r="G90" s="1" t="n">
        <v>3</v>
      </c>
      <c r="H90" s="4" t="b">
        <f aca="false">AND(E90&lt;&gt;"",F90&lt;=100,G90&gt;=2)</f>
        <v>0</v>
      </c>
    </row>
    <row r="91" customFormat="false" ht="15" hidden="false" customHeight="false" outlineLevel="0" collapsed="false">
      <c r="A91" s="1" t="s">
        <v>88</v>
      </c>
      <c r="B91" s="1" t="n">
        <f aca="false">VALUE(LEFT(A91,4))</f>
        <v>2022</v>
      </c>
      <c r="C91" s="1" t="n">
        <f aca="false">VALUE(RIGHT(A91,2))</f>
        <v>9</v>
      </c>
      <c r="D91" s="1" t="s">
        <v>44</v>
      </c>
      <c r="E91" s="1"/>
      <c r="F91" s="1"/>
      <c r="G91" s="1" t="n">
        <v>3</v>
      </c>
      <c r="H91" s="4" t="b">
        <f aca="false">AND(E91&lt;&gt;"",F91&lt;=100,G91&gt;=2)</f>
        <v>0</v>
      </c>
    </row>
    <row r="92" customFormat="false" ht="15" hidden="false" customHeight="false" outlineLevel="0" collapsed="false">
      <c r="A92" s="1" t="s">
        <v>89</v>
      </c>
      <c r="B92" s="1" t="n">
        <f aca="false">VALUE(LEFT(A92,4))</f>
        <v>2022</v>
      </c>
      <c r="C92" s="1" t="n">
        <f aca="false">VALUE(RIGHT(A92,2))</f>
        <v>10</v>
      </c>
      <c r="D92" s="1" t="s">
        <v>43</v>
      </c>
      <c r="E92" s="1"/>
      <c r="F92" s="1"/>
      <c r="G92" s="1" t="n">
        <v>1</v>
      </c>
      <c r="H92" s="4" t="b">
        <f aca="false">AND(E92&lt;&gt;"",F92&lt;=100,G92&gt;=2)</f>
        <v>0</v>
      </c>
    </row>
    <row r="93" customFormat="false" ht="15" hidden="false" customHeight="false" outlineLevel="0" collapsed="false">
      <c r="A93" s="1" t="s">
        <v>89</v>
      </c>
      <c r="B93" s="1" t="n">
        <f aca="false">VALUE(LEFT(A93,4))</f>
        <v>2022</v>
      </c>
      <c r="C93" s="1" t="n">
        <f aca="false">VALUE(RIGHT(A93,2))</f>
        <v>10</v>
      </c>
      <c r="D93" s="1" t="s">
        <v>44</v>
      </c>
      <c r="E93" s="1"/>
      <c r="F93" s="1"/>
      <c r="G93" s="1" t="n">
        <v>1</v>
      </c>
      <c r="H93" s="4" t="b">
        <f aca="false">AND(E93&lt;&gt;"",F93&lt;=100,G93&gt;=2)</f>
        <v>0</v>
      </c>
    </row>
    <row r="94" customFormat="false" ht="15" hidden="false" customHeight="false" outlineLevel="0" collapsed="false">
      <c r="A94" s="1" t="s">
        <v>90</v>
      </c>
      <c r="B94" s="1" t="n">
        <f aca="false">VALUE(LEFT(A94,4))</f>
        <v>2022</v>
      </c>
      <c r="C94" s="1" t="n">
        <f aca="false">VALUE(RIGHT(A94,2))</f>
        <v>11</v>
      </c>
      <c r="D94" s="1" t="s">
        <v>43</v>
      </c>
      <c r="E94" s="1"/>
      <c r="F94" s="1"/>
      <c r="G94" s="1" t="n">
        <v>0</v>
      </c>
      <c r="H94" s="4" t="b">
        <f aca="false">AND(E94&lt;&gt;"",F94&lt;=100,G94&gt;=2)</f>
        <v>0</v>
      </c>
    </row>
    <row r="95" customFormat="false" ht="15" hidden="false" customHeight="false" outlineLevel="0" collapsed="false">
      <c r="A95" s="1" t="s">
        <v>90</v>
      </c>
      <c r="B95" s="1" t="n">
        <f aca="false">VALUE(LEFT(A95,4))</f>
        <v>2022</v>
      </c>
      <c r="C95" s="1" t="n">
        <f aca="false">VALUE(RIGHT(A95,2))</f>
        <v>11</v>
      </c>
      <c r="D95" s="1" t="s">
        <v>44</v>
      </c>
      <c r="E95" s="1"/>
      <c r="F95" s="1"/>
      <c r="G95" s="1" t="n">
        <v>0</v>
      </c>
      <c r="H95" s="4" t="b">
        <f aca="false">AND(E95&lt;&gt;"",F95&lt;=100,G95&gt;=2)</f>
        <v>0</v>
      </c>
    </row>
    <row r="96" customFormat="false" ht="15" hidden="false" customHeight="false" outlineLevel="0" collapsed="false">
      <c r="A96" s="1" t="s">
        <v>91</v>
      </c>
      <c r="B96" s="1" t="n">
        <f aca="false">VALUE(LEFT(A96,4))</f>
        <v>2022</v>
      </c>
      <c r="C96" s="1" t="n">
        <f aca="false">VALUE(RIGHT(A96,2))</f>
        <v>12</v>
      </c>
      <c r="D96" s="1" t="s">
        <v>43</v>
      </c>
      <c r="E96" s="1"/>
      <c r="F96" s="1"/>
      <c r="G96" s="1" t="n">
        <v>0</v>
      </c>
      <c r="H96" s="4" t="b">
        <f aca="false">AND(E96&lt;&gt;"",F96&lt;=100,G96&gt;=2)</f>
        <v>0</v>
      </c>
    </row>
    <row r="97" customFormat="false" ht="15" hidden="false" customHeight="false" outlineLevel="0" collapsed="false">
      <c r="A97" s="1" t="s">
        <v>91</v>
      </c>
      <c r="B97" s="1" t="n">
        <f aca="false">VALUE(LEFT(A97,4))</f>
        <v>2022</v>
      </c>
      <c r="C97" s="1" t="n">
        <f aca="false">VALUE(RIGHT(A97,2))</f>
        <v>12</v>
      </c>
      <c r="D97" s="1" t="s">
        <v>44</v>
      </c>
      <c r="E97" s="1"/>
      <c r="F97" s="1"/>
      <c r="G97" s="1" t="n">
        <v>0</v>
      </c>
      <c r="H97" s="4" t="b">
        <f aca="false">AND(E97&lt;&gt;"",F97&lt;=100,G97&gt;=2)</f>
        <v>0</v>
      </c>
    </row>
    <row r="98" customFormat="false" ht="15" hidden="false" customHeight="false" outlineLevel="0" collapsed="false">
      <c r="A98" s="1" t="s">
        <v>92</v>
      </c>
      <c r="B98" s="1" t="n">
        <f aca="false">VALUE(LEFT(A98,4))</f>
        <v>2023</v>
      </c>
      <c r="C98" s="1" t="n">
        <f aca="false">VALUE(RIGHT(A98,2))</f>
        <v>1</v>
      </c>
      <c r="D98" s="1" t="s">
        <v>43</v>
      </c>
      <c r="E98" s="1" t="n">
        <v>-0.014315</v>
      </c>
      <c r="F98" s="1" t="n">
        <v>9.162</v>
      </c>
      <c r="G98" s="1" t="n">
        <v>3</v>
      </c>
      <c r="H98" s="4" t="b">
        <f aca="false">AND(E98&lt;&gt;"",F98&lt;=100,G98&gt;=2)</f>
        <v>1</v>
      </c>
    </row>
    <row r="99" customFormat="false" ht="15" hidden="false" customHeight="false" outlineLevel="0" collapsed="false">
      <c r="A99" s="1" t="s">
        <v>92</v>
      </c>
      <c r="B99" s="1" t="n">
        <f aca="false">VALUE(LEFT(A99,4))</f>
        <v>2023</v>
      </c>
      <c r="C99" s="1" t="n">
        <f aca="false">VALUE(RIGHT(A99,2))</f>
        <v>1</v>
      </c>
      <c r="D99" s="1" t="s">
        <v>44</v>
      </c>
      <c r="E99" s="1"/>
      <c r="F99" s="1"/>
      <c r="G99" s="1" t="n">
        <v>3</v>
      </c>
      <c r="H99" s="4" t="b">
        <f aca="false">AND(E99&lt;&gt;"",F99&lt;=100,G99&gt;=2)</f>
        <v>0</v>
      </c>
    </row>
    <row r="100" customFormat="false" ht="15" hidden="false" customHeight="false" outlineLevel="0" collapsed="false">
      <c r="A100" s="1" t="s">
        <v>93</v>
      </c>
      <c r="B100" s="1" t="n">
        <f aca="false">VALUE(LEFT(A100,4))</f>
        <v>2023</v>
      </c>
      <c r="C100" s="1" t="n">
        <f aca="false">VALUE(RIGHT(A100,2))</f>
        <v>2</v>
      </c>
      <c r="D100" s="1" t="s">
        <v>43</v>
      </c>
      <c r="E100" s="1" t="n">
        <v>0.009217</v>
      </c>
      <c r="F100" s="1" t="n">
        <v>20.355</v>
      </c>
      <c r="G100" s="1" t="n">
        <v>4</v>
      </c>
      <c r="H100" s="4" t="b">
        <f aca="false">AND(E100&lt;&gt;"",F100&lt;=100,G100&gt;=2)</f>
        <v>1</v>
      </c>
    </row>
    <row r="101" customFormat="false" ht="15" hidden="false" customHeight="false" outlineLevel="0" collapsed="false">
      <c r="A101" s="1" t="s">
        <v>93</v>
      </c>
      <c r="B101" s="1" t="n">
        <f aca="false">VALUE(LEFT(A101,4))</f>
        <v>2023</v>
      </c>
      <c r="C101" s="1" t="n">
        <f aca="false">VALUE(RIGHT(A101,2))</f>
        <v>2</v>
      </c>
      <c r="D101" s="1" t="s">
        <v>44</v>
      </c>
      <c r="E101" s="1" t="n">
        <v>0.219965</v>
      </c>
      <c r="F101" s="1" t="n">
        <v>97.275</v>
      </c>
      <c r="G101" s="1" t="n">
        <v>4</v>
      </c>
      <c r="H101" s="4" t="b">
        <f aca="false">AND(E101&lt;&gt;"",F101&lt;=100,G101&gt;=2)</f>
        <v>1</v>
      </c>
    </row>
    <row r="102" customFormat="false" ht="15" hidden="false" customHeight="false" outlineLevel="0" collapsed="false">
      <c r="A102" s="1" t="s">
        <v>94</v>
      </c>
      <c r="B102" s="1" t="n">
        <f aca="false">VALUE(LEFT(A102,4))</f>
        <v>2023</v>
      </c>
      <c r="C102" s="1" t="n">
        <f aca="false">VALUE(RIGHT(A102,2))</f>
        <v>3</v>
      </c>
      <c r="D102" s="1" t="s">
        <v>43</v>
      </c>
      <c r="E102" s="1" t="n">
        <v>0.028781</v>
      </c>
      <c r="F102" s="1" t="n">
        <v>47.861</v>
      </c>
      <c r="G102" s="1" t="n">
        <v>8</v>
      </c>
      <c r="H102" s="4" t="b">
        <f aca="false">AND(E102&lt;&gt;"",F102&lt;=100,G102&gt;=2)</f>
        <v>1</v>
      </c>
    </row>
    <row r="103" customFormat="false" ht="15" hidden="false" customHeight="false" outlineLevel="0" collapsed="false">
      <c r="A103" s="1" t="s">
        <v>94</v>
      </c>
      <c r="B103" s="1" t="n">
        <f aca="false">VALUE(LEFT(A103,4))</f>
        <v>2023</v>
      </c>
      <c r="C103" s="1" t="n">
        <f aca="false">VALUE(RIGHT(A103,2))</f>
        <v>3</v>
      </c>
      <c r="D103" s="1" t="s">
        <v>44</v>
      </c>
      <c r="E103" s="1" t="n">
        <v>0.06073</v>
      </c>
      <c r="F103" s="1" t="n">
        <v>76.683</v>
      </c>
      <c r="G103" s="1" t="n">
        <v>8</v>
      </c>
      <c r="H103" s="4" t="b">
        <f aca="false">AND(E103&lt;&gt;"",F103&lt;=100,G103&gt;=2)</f>
        <v>1</v>
      </c>
    </row>
    <row r="104" customFormat="false" ht="15" hidden="false" customHeight="false" outlineLevel="0" collapsed="false">
      <c r="A104" s="1" t="s">
        <v>95</v>
      </c>
      <c r="B104" s="1" t="n">
        <f aca="false">VALUE(LEFT(A104,4))</f>
        <v>2023</v>
      </c>
      <c r="C104" s="1" t="n">
        <f aca="false">VALUE(RIGHT(A104,2))</f>
        <v>4</v>
      </c>
      <c r="D104" s="1" t="s">
        <v>43</v>
      </c>
      <c r="E104" s="1" t="n">
        <v>0.019498</v>
      </c>
      <c r="F104" s="1" t="n">
        <v>24.236</v>
      </c>
      <c r="G104" s="1" t="n">
        <v>11</v>
      </c>
      <c r="H104" s="4" t="b">
        <f aca="false">AND(E104&lt;&gt;"",F104&lt;=100,G104&gt;=2)</f>
        <v>1</v>
      </c>
    </row>
    <row r="105" customFormat="false" ht="15" hidden="false" customHeight="false" outlineLevel="0" collapsed="false">
      <c r="A105" s="1" t="s">
        <v>95</v>
      </c>
      <c r="B105" s="1" t="n">
        <f aca="false">VALUE(LEFT(A105,4))</f>
        <v>2023</v>
      </c>
      <c r="C105" s="1" t="n">
        <f aca="false">VALUE(RIGHT(A105,2))</f>
        <v>4</v>
      </c>
      <c r="D105" s="1" t="s">
        <v>44</v>
      </c>
      <c r="E105" s="1" t="n">
        <v>0.058874</v>
      </c>
      <c r="F105" s="1" t="n">
        <v>163.8</v>
      </c>
      <c r="G105" s="1" t="n">
        <v>11</v>
      </c>
      <c r="H105" s="4" t="b">
        <f aca="false">AND(E105&lt;&gt;"",F105&lt;=100,G105&gt;=2)</f>
        <v>0</v>
      </c>
    </row>
    <row r="106" customFormat="false" ht="15" hidden="false" customHeight="false" outlineLevel="0" collapsed="false">
      <c r="A106" s="1" t="s">
        <v>96</v>
      </c>
      <c r="B106" s="1" t="n">
        <f aca="false">VALUE(LEFT(A106,4))</f>
        <v>2023</v>
      </c>
      <c r="C106" s="1" t="n">
        <f aca="false">VALUE(RIGHT(A106,2))</f>
        <v>5</v>
      </c>
      <c r="D106" s="1" t="s">
        <v>43</v>
      </c>
      <c r="E106" s="1" t="n">
        <v>0.031328</v>
      </c>
      <c r="F106" s="1" t="n">
        <v>16.733</v>
      </c>
      <c r="G106" s="1" t="n">
        <v>12</v>
      </c>
      <c r="H106" s="4" t="b">
        <f aca="false">AND(E106&lt;&gt;"",F106&lt;=100,G106&gt;=2)</f>
        <v>1</v>
      </c>
    </row>
    <row r="107" customFormat="false" ht="15" hidden="false" customHeight="false" outlineLevel="0" collapsed="false">
      <c r="A107" s="1" t="s">
        <v>96</v>
      </c>
      <c r="B107" s="1" t="n">
        <f aca="false">VALUE(LEFT(A107,4))</f>
        <v>2023</v>
      </c>
      <c r="C107" s="1" t="n">
        <f aca="false">VALUE(RIGHT(A107,2))</f>
        <v>5</v>
      </c>
      <c r="D107" s="1" t="s">
        <v>44</v>
      </c>
      <c r="E107" s="1" t="n">
        <v>0.018877</v>
      </c>
      <c r="F107" s="1" t="n">
        <v>622.778</v>
      </c>
      <c r="G107" s="1" t="n">
        <v>12</v>
      </c>
      <c r="H107" s="4" t="b">
        <f aca="false">AND(E107&lt;&gt;"",F107&lt;=100,G107&gt;=2)</f>
        <v>0</v>
      </c>
    </row>
    <row r="108" customFormat="false" ht="15" hidden="false" customHeight="false" outlineLevel="0" collapsed="false">
      <c r="A108" s="1" t="s">
        <v>97</v>
      </c>
      <c r="B108" s="1" t="n">
        <f aca="false">VALUE(LEFT(A108,4))</f>
        <v>2023</v>
      </c>
      <c r="C108" s="1" t="n">
        <f aca="false">VALUE(RIGHT(A108,2))</f>
        <v>6</v>
      </c>
      <c r="D108" s="1" t="s">
        <v>43</v>
      </c>
      <c r="E108" s="1" t="n">
        <v>0.058121</v>
      </c>
      <c r="F108" s="1" t="n">
        <v>17.583</v>
      </c>
      <c r="G108" s="1" t="n">
        <v>12</v>
      </c>
      <c r="H108" s="4" t="b">
        <f aca="false">AND(E108&lt;&gt;"",F108&lt;=100,G108&gt;=2)</f>
        <v>1</v>
      </c>
    </row>
    <row r="109" customFormat="false" ht="15" hidden="false" customHeight="false" outlineLevel="0" collapsed="false">
      <c r="A109" s="1" t="s">
        <v>97</v>
      </c>
      <c r="B109" s="1" t="n">
        <f aca="false">VALUE(LEFT(A109,4))</f>
        <v>2023</v>
      </c>
      <c r="C109" s="1" t="n">
        <f aca="false">VALUE(RIGHT(A109,2))</f>
        <v>6</v>
      </c>
      <c r="D109" s="1" t="s">
        <v>44</v>
      </c>
      <c r="E109" s="1" t="n">
        <v>0.132451</v>
      </c>
      <c r="F109" s="1" t="n">
        <v>46.569</v>
      </c>
      <c r="G109" s="1" t="n">
        <v>12</v>
      </c>
      <c r="H109" s="4" t="b">
        <f aca="false">AND(E109&lt;&gt;"",F109&lt;=100,G109&gt;=2)</f>
        <v>1</v>
      </c>
    </row>
    <row r="110" customFormat="false" ht="15" hidden="false" customHeight="false" outlineLevel="0" collapsed="false">
      <c r="A110" s="1" t="s">
        <v>98</v>
      </c>
      <c r="B110" s="1" t="n">
        <f aca="false">VALUE(LEFT(A110,4))</f>
        <v>2023</v>
      </c>
      <c r="C110" s="1" t="n">
        <f aca="false">VALUE(RIGHT(A110,2))</f>
        <v>7</v>
      </c>
      <c r="D110" s="1" t="s">
        <v>43</v>
      </c>
      <c r="E110" s="1" t="n">
        <v>0.02875</v>
      </c>
      <c r="F110" s="1" t="n">
        <v>20.797</v>
      </c>
      <c r="G110" s="1" t="n">
        <v>6</v>
      </c>
      <c r="H110" s="4" t="b">
        <f aca="false">AND(E110&lt;&gt;"",F110&lt;=100,G110&gt;=2)</f>
        <v>1</v>
      </c>
    </row>
    <row r="111" customFormat="false" ht="15" hidden="false" customHeight="false" outlineLevel="0" collapsed="false">
      <c r="A111" s="1" t="s">
        <v>98</v>
      </c>
      <c r="B111" s="1" t="n">
        <f aca="false">VALUE(LEFT(A111,4))</f>
        <v>2023</v>
      </c>
      <c r="C111" s="1" t="n">
        <f aca="false">VALUE(RIGHT(A111,2))</f>
        <v>7</v>
      </c>
      <c r="D111" s="1" t="s">
        <v>44</v>
      </c>
      <c r="E111" s="1"/>
      <c r="F111" s="1"/>
      <c r="G111" s="1" t="n">
        <v>6</v>
      </c>
      <c r="H111" s="4" t="b">
        <f aca="false">AND(E111&lt;&gt;"",F111&lt;=100,G111&gt;=2)</f>
        <v>0</v>
      </c>
    </row>
    <row r="112" customFormat="false" ht="15" hidden="false" customHeight="false" outlineLevel="0" collapsed="false">
      <c r="A112" s="1" t="s">
        <v>99</v>
      </c>
      <c r="B112" s="1" t="n">
        <f aca="false">VALUE(LEFT(A112,4))</f>
        <v>2023</v>
      </c>
      <c r="C112" s="1" t="n">
        <f aca="false">VALUE(RIGHT(A112,2))</f>
        <v>8</v>
      </c>
      <c r="D112" s="1" t="s">
        <v>43</v>
      </c>
      <c r="E112" s="1" t="n">
        <v>0.024069</v>
      </c>
      <c r="F112" s="1" t="n">
        <v>34.942</v>
      </c>
      <c r="G112" s="1" t="n">
        <v>9</v>
      </c>
      <c r="H112" s="4" t="b">
        <f aca="false">AND(E112&lt;&gt;"",F112&lt;=100,G112&gt;=2)</f>
        <v>1</v>
      </c>
    </row>
    <row r="113" customFormat="false" ht="15" hidden="false" customHeight="false" outlineLevel="0" collapsed="false">
      <c r="A113" s="1" t="s">
        <v>99</v>
      </c>
      <c r="B113" s="1" t="n">
        <f aca="false">VALUE(LEFT(A113,4))</f>
        <v>2023</v>
      </c>
      <c r="C113" s="1" t="n">
        <f aca="false">VALUE(RIGHT(A113,2))</f>
        <v>8</v>
      </c>
      <c r="D113" s="1" t="s">
        <v>44</v>
      </c>
      <c r="E113" s="1" t="n">
        <v>0.076405</v>
      </c>
      <c r="F113" s="1" t="n">
        <v>172.02</v>
      </c>
      <c r="G113" s="1" t="n">
        <v>9</v>
      </c>
      <c r="H113" s="4" t="b">
        <f aca="false">AND(E113&lt;&gt;"",F113&lt;=100,G113&gt;=2)</f>
        <v>0</v>
      </c>
    </row>
    <row r="114" customFormat="false" ht="15" hidden="false" customHeight="false" outlineLevel="0" collapsed="false">
      <c r="A114" s="1" t="s">
        <v>100</v>
      </c>
      <c r="B114" s="1" t="n">
        <f aca="false">VALUE(LEFT(A114,4))</f>
        <v>2023</v>
      </c>
      <c r="C114" s="1" t="n">
        <f aca="false">VALUE(RIGHT(A114,2))</f>
        <v>9</v>
      </c>
      <c r="D114" s="1" t="s">
        <v>43</v>
      </c>
      <c r="E114" s="1" t="n">
        <v>-0.001985</v>
      </c>
      <c r="F114" s="1" t="n">
        <v>22.743</v>
      </c>
      <c r="G114" s="1" t="n">
        <v>9</v>
      </c>
      <c r="H114" s="4" t="b">
        <f aca="false">AND(E114&lt;&gt;"",F114&lt;=100,G114&gt;=2)</f>
        <v>1</v>
      </c>
    </row>
    <row r="115" customFormat="false" ht="15" hidden="false" customHeight="false" outlineLevel="0" collapsed="false">
      <c r="A115" s="1" t="s">
        <v>100</v>
      </c>
      <c r="B115" s="1" t="n">
        <f aca="false">VALUE(LEFT(A115,4))</f>
        <v>2023</v>
      </c>
      <c r="C115" s="1" t="n">
        <f aca="false">VALUE(RIGHT(A115,2))</f>
        <v>9</v>
      </c>
      <c r="D115" s="1" t="s">
        <v>44</v>
      </c>
      <c r="E115" s="1" t="n">
        <v>0.008823</v>
      </c>
      <c r="F115" s="1" t="n">
        <v>168.617</v>
      </c>
      <c r="G115" s="1" t="n">
        <v>9</v>
      </c>
      <c r="H115" s="4" t="b">
        <f aca="false">AND(E115&lt;&gt;"",F115&lt;=100,G115&gt;=2)</f>
        <v>0</v>
      </c>
    </row>
    <row r="116" customFormat="false" ht="15" hidden="false" customHeight="false" outlineLevel="0" collapsed="false">
      <c r="A116" s="1" t="s">
        <v>101</v>
      </c>
      <c r="B116" s="1" t="n">
        <f aca="false">VALUE(LEFT(A116,4))</f>
        <v>2023</v>
      </c>
      <c r="C116" s="1" t="n">
        <f aca="false">VALUE(RIGHT(A116,2))</f>
        <v>10</v>
      </c>
      <c r="D116" s="1" t="s">
        <v>43</v>
      </c>
      <c r="E116" s="1" t="n">
        <v>0.03329</v>
      </c>
      <c r="F116" s="1" t="n">
        <v>46.193</v>
      </c>
      <c r="G116" s="1" t="n">
        <v>5</v>
      </c>
      <c r="H116" s="4" t="b">
        <f aca="false">AND(E116&lt;&gt;"",F116&lt;=100,G116&gt;=2)</f>
        <v>1</v>
      </c>
    </row>
    <row r="117" customFormat="false" ht="15" hidden="false" customHeight="false" outlineLevel="0" collapsed="false">
      <c r="A117" s="1" t="s">
        <v>101</v>
      </c>
      <c r="B117" s="1" t="n">
        <f aca="false">VALUE(LEFT(A117,4))</f>
        <v>2023</v>
      </c>
      <c r="C117" s="1" t="n">
        <f aca="false">VALUE(RIGHT(A117,2))</f>
        <v>10</v>
      </c>
      <c r="D117" s="1" t="s">
        <v>44</v>
      </c>
      <c r="E117" s="1"/>
      <c r="F117" s="1"/>
      <c r="G117" s="1" t="n">
        <v>5</v>
      </c>
      <c r="H117" s="4" t="b">
        <f aca="false">AND(E117&lt;&gt;"",F117&lt;=100,G117&gt;=2)</f>
        <v>0</v>
      </c>
    </row>
    <row r="118" customFormat="false" ht="15" hidden="false" customHeight="false" outlineLevel="0" collapsed="false">
      <c r="A118" s="1" t="s">
        <v>102</v>
      </c>
      <c r="B118" s="1" t="n">
        <f aca="false">VALUE(LEFT(A118,4))</f>
        <v>2023</v>
      </c>
      <c r="C118" s="1" t="n">
        <f aca="false">VALUE(RIGHT(A118,2))</f>
        <v>11</v>
      </c>
      <c r="D118" s="1" t="s">
        <v>43</v>
      </c>
      <c r="E118" s="1" t="n">
        <v>0.046698</v>
      </c>
      <c r="F118" s="1" t="n">
        <v>28.817</v>
      </c>
      <c r="G118" s="1" t="n">
        <v>3</v>
      </c>
      <c r="H118" s="4" t="b">
        <f aca="false">AND(E118&lt;&gt;"",F118&lt;=100,G118&gt;=2)</f>
        <v>1</v>
      </c>
    </row>
    <row r="119" customFormat="false" ht="15" hidden="false" customHeight="false" outlineLevel="0" collapsed="false">
      <c r="A119" s="1" t="s">
        <v>102</v>
      </c>
      <c r="B119" s="1" t="n">
        <f aca="false">VALUE(LEFT(A119,4))</f>
        <v>2023</v>
      </c>
      <c r="C119" s="1" t="n">
        <f aca="false">VALUE(RIGHT(A119,2))</f>
        <v>11</v>
      </c>
      <c r="D119" s="1" t="s">
        <v>44</v>
      </c>
      <c r="E119" s="1"/>
      <c r="F119" s="1"/>
      <c r="G119" s="1" t="n">
        <v>3</v>
      </c>
      <c r="H119" s="4" t="b">
        <f aca="false">AND(E119&lt;&gt;"",F119&lt;=100,G119&gt;=2)</f>
        <v>0</v>
      </c>
    </row>
    <row r="120" customFormat="false" ht="15" hidden="false" customHeight="false" outlineLevel="0" collapsed="false">
      <c r="A120" s="1" t="s">
        <v>103</v>
      </c>
      <c r="B120" s="1" t="n">
        <f aca="false">VALUE(LEFT(A120,4))</f>
        <v>2023</v>
      </c>
      <c r="C120" s="1" t="n">
        <f aca="false">VALUE(RIGHT(A120,2))</f>
        <v>12</v>
      </c>
      <c r="D120" s="1" t="s">
        <v>43</v>
      </c>
      <c r="E120" s="1"/>
      <c r="F120" s="1"/>
      <c r="G120" s="1" t="n">
        <v>3</v>
      </c>
      <c r="H120" s="4" t="b">
        <f aca="false">AND(E120&lt;&gt;"",F120&lt;=100,G120&gt;=2)</f>
        <v>0</v>
      </c>
    </row>
    <row r="121" customFormat="false" ht="15" hidden="false" customHeight="false" outlineLevel="0" collapsed="false">
      <c r="A121" s="1" t="s">
        <v>103</v>
      </c>
      <c r="B121" s="1" t="n">
        <f aca="false">VALUE(LEFT(A121,4))</f>
        <v>2023</v>
      </c>
      <c r="C121" s="1" t="n">
        <f aca="false">VALUE(RIGHT(A121,2))</f>
        <v>12</v>
      </c>
      <c r="D121" s="1" t="s">
        <v>44</v>
      </c>
      <c r="E121" s="1" t="n">
        <v>0.018904</v>
      </c>
      <c r="F121" s="1" t="n">
        <v>608.396</v>
      </c>
      <c r="G121" s="1" t="n">
        <v>3</v>
      </c>
      <c r="H121" s="4" t="b">
        <f aca="false">AND(E121&lt;&gt;"",F121&lt;=100,G121&gt;=2)</f>
        <v>0</v>
      </c>
    </row>
    <row r="122" customFormat="false" ht="15" hidden="false" customHeight="false" outlineLevel="0" collapsed="false">
      <c r="A122" s="1" t="s">
        <v>104</v>
      </c>
      <c r="B122" s="1" t="n">
        <f aca="false">VALUE(LEFT(A122,4))</f>
        <v>2024</v>
      </c>
      <c r="C122" s="1" t="n">
        <f aca="false">VALUE(RIGHT(A122,2))</f>
        <v>1</v>
      </c>
      <c r="D122" s="1" t="s">
        <v>43</v>
      </c>
      <c r="E122" s="1" t="n">
        <v>0.014703</v>
      </c>
      <c r="F122" s="1" t="n">
        <v>16.744</v>
      </c>
      <c r="G122" s="1" t="n">
        <v>8</v>
      </c>
      <c r="H122" s="4" t="b">
        <f aca="false">AND(E122&lt;&gt;"",F122&lt;=100,G122&gt;=2)</f>
        <v>1</v>
      </c>
    </row>
    <row r="123" customFormat="false" ht="15" hidden="false" customHeight="false" outlineLevel="0" collapsed="false">
      <c r="A123" s="1" t="s">
        <v>104</v>
      </c>
      <c r="B123" s="1" t="n">
        <f aca="false">VALUE(LEFT(A123,4))</f>
        <v>2024</v>
      </c>
      <c r="C123" s="1" t="n">
        <f aca="false">VALUE(RIGHT(A123,2))</f>
        <v>1</v>
      </c>
      <c r="D123" s="1" t="s">
        <v>44</v>
      </c>
      <c r="E123" s="1" t="n">
        <v>0.076898</v>
      </c>
      <c r="F123" s="1" t="n">
        <v>84.838</v>
      </c>
      <c r="G123" s="1" t="n">
        <v>8</v>
      </c>
      <c r="H123" s="4" t="b">
        <f aca="false">AND(E123&lt;&gt;"",F123&lt;=100,G123&gt;=2)</f>
        <v>1</v>
      </c>
    </row>
    <row r="124" customFormat="false" ht="15" hidden="false" customHeight="false" outlineLevel="0" collapsed="false">
      <c r="A124" s="1" t="s">
        <v>105</v>
      </c>
      <c r="B124" s="1" t="n">
        <f aca="false">VALUE(LEFT(A124,4))</f>
        <v>2024</v>
      </c>
      <c r="C124" s="1" t="n">
        <f aca="false">VALUE(RIGHT(A124,2))</f>
        <v>2</v>
      </c>
      <c r="D124" s="1" t="s">
        <v>43</v>
      </c>
      <c r="E124" s="1" t="n">
        <v>0.000659</v>
      </c>
      <c r="F124" s="1" t="n">
        <v>21.244</v>
      </c>
      <c r="G124" s="1" t="n">
        <v>7</v>
      </c>
      <c r="H124" s="4" t="b">
        <f aca="false">AND(E124&lt;&gt;"",F124&lt;=100,G124&gt;=2)</f>
        <v>1</v>
      </c>
    </row>
    <row r="125" customFormat="false" ht="15" hidden="false" customHeight="false" outlineLevel="0" collapsed="false">
      <c r="A125" s="1" t="s">
        <v>105</v>
      </c>
      <c r="B125" s="1" t="n">
        <f aca="false">VALUE(LEFT(A125,4))</f>
        <v>2024</v>
      </c>
      <c r="C125" s="1" t="n">
        <f aca="false">VALUE(RIGHT(A125,2))</f>
        <v>2</v>
      </c>
      <c r="D125" s="1" t="s">
        <v>44</v>
      </c>
      <c r="E125" s="1" t="n">
        <v>0.017357</v>
      </c>
      <c r="F125" s="1" t="n">
        <v>514.511</v>
      </c>
      <c r="G125" s="1" t="n">
        <v>7</v>
      </c>
      <c r="H125" s="4" t="b">
        <f aca="false">AND(E125&lt;&gt;"",F125&lt;=100,G125&gt;=2)</f>
        <v>0</v>
      </c>
    </row>
    <row r="126" customFormat="false" ht="15" hidden="false" customHeight="false" outlineLevel="0" collapsed="false">
      <c r="A126" s="1" t="s">
        <v>106</v>
      </c>
      <c r="B126" s="1" t="n">
        <f aca="false">VALUE(LEFT(A126,4))</f>
        <v>2024</v>
      </c>
      <c r="C126" s="1" t="n">
        <f aca="false">VALUE(RIGHT(A126,2))</f>
        <v>3</v>
      </c>
      <c r="D126" s="1" t="s">
        <v>43</v>
      </c>
      <c r="E126" s="1" t="n">
        <v>0.02216</v>
      </c>
      <c r="F126" s="1" t="n">
        <v>26.416</v>
      </c>
      <c r="G126" s="1" t="n">
        <v>11</v>
      </c>
      <c r="H126" s="4" t="b">
        <f aca="false">AND(E126&lt;&gt;"",F126&lt;=100,G126&gt;=2)</f>
        <v>1</v>
      </c>
    </row>
    <row r="127" customFormat="false" ht="15" hidden="false" customHeight="false" outlineLevel="0" collapsed="false">
      <c r="A127" s="1" t="s">
        <v>106</v>
      </c>
      <c r="B127" s="1" t="n">
        <f aca="false">VALUE(LEFT(A127,4))</f>
        <v>2024</v>
      </c>
      <c r="C127" s="1" t="n">
        <f aca="false">VALUE(RIGHT(A127,2))</f>
        <v>3</v>
      </c>
      <c r="D127" s="1" t="s">
        <v>44</v>
      </c>
      <c r="E127" s="1" t="n">
        <v>0.080516</v>
      </c>
      <c r="F127" s="1" t="n">
        <v>147.457</v>
      </c>
      <c r="G127" s="1" t="n">
        <v>11</v>
      </c>
      <c r="H127" s="4" t="b">
        <f aca="false">AND(E127&lt;&gt;"",F127&lt;=100,G127&gt;=2)</f>
        <v>0</v>
      </c>
    </row>
    <row r="128" customFormat="false" ht="15" hidden="false" customHeight="false" outlineLevel="0" collapsed="false">
      <c r="A128" s="1" t="s">
        <v>107</v>
      </c>
      <c r="B128" s="1" t="n">
        <f aca="false">VALUE(LEFT(A128,4))</f>
        <v>2024</v>
      </c>
      <c r="C128" s="1" t="n">
        <f aca="false">VALUE(RIGHT(A128,2))</f>
        <v>4</v>
      </c>
      <c r="D128" s="1" t="s">
        <v>43</v>
      </c>
      <c r="E128" s="1" t="n">
        <v>0.024798</v>
      </c>
      <c r="F128" s="1" t="n">
        <v>27.328</v>
      </c>
      <c r="G128" s="1" t="n">
        <v>3</v>
      </c>
      <c r="H128" s="4" t="b">
        <f aca="false">AND(E128&lt;&gt;"",F128&lt;=100,G128&gt;=2)</f>
        <v>1</v>
      </c>
    </row>
    <row r="129" customFormat="false" ht="15" hidden="false" customHeight="false" outlineLevel="0" collapsed="false">
      <c r="A129" s="1" t="s">
        <v>107</v>
      </c>
      <c r="B129" s="1" t="n">
        <f aca="false">VALUE(LEFT(A129,4))</f>
        <v>2024</v>
      </c>
      <c r="C129" s="1" t="n">
        <f aca="false">VALUE(RIGHT(A129,2))</f>
        <v>4</v>
      </c>
      <c r="D129" s="1" t="s">
        <v>44</v>
      </c>
      <c r="E129" s="1" t="n">
        <v>0.014412</v>
      </c>
      <c r="F129" s="1" t="n">
        <v>88.9</v>
      </c>
      <c r="G129" s="1" t="n">
        <v>3</v>
      </c>
      <c r="H129" s="4" t="b">
        <f aca="false">AND(E129&lt;&gt;"",F129&lt;=100,G129&gt;=2)</f>
        <v>1</v>
      </c>
    </row>
    <row r="130" customFormat="false" ht="15" hidden="false" customHeight="false" outlineLevel="0" collapsed="false">
      <c r="A130" s="1" t="s">
        <v>108</v>
      </c>
      <c r="B130" s="1" t="n">
        <f aca="false">VALUE(LEFT(A130,4))</f>
        <v>2024</v>
      </c>
      <c r="C130" s="1" t="n">
        <f aca="false">VALUE(RIGHT(A130,2))</f>
        <v>5</v>
      </c>
      <c r="D130" s="1" t="s">
        <v>43</v>
      </c>
      <c r="E130" s="1" t="n">
        <v>-0.006361</v>
      </c>
      <c r="F130" s="1" t="n">
        <v>10.351</v>
      </c>
      <c r="G130" s="1" t="n">
        <v>4</v>
      </c>
      <c r="H130" s="4" t="b">
        <f aca="false">AND(E130&lt;&gt;"",F130&lt;=100,G130&gt;=2)</f>
        <v>1</v>
      </c>
    </row>
    <row r="131" customFormat="false" ht="15" hidden="false" customHeight="false" outlineLevel="0" collapsed="false">
      <c r="A131" s="1" t="s">
        <v>108</v>
      </c>
      <c r="B131" s="1" t="n">
        <f aca="false">VALUE(LEFT(A131,4))</f>
        <v>2024</v>
      </c>
      <c r="C131" s="1" t="n">
        <f aca="false">VALUE(RIGHT(A131,2))</f>
        <v>5</v>
      </c>
      <c r="D131" s="1" t="s">
        <v>44</v>
      </c>
      <c r="E131" s="1" t="n">
        <v>0.111158</v>
      </c>
      <c r="F131" s="1" t="n">
        <v>65.558</v>
      </c>
      <c r="G131" s="1" t="n">
        <v>4</v>
      </c>
      <c r="H131" s="4" t="b">
        <f aca="false">AND(E131&lt;&gt;"",F131&lt;=100,G131&gt;=2)</f>
        <v>1</v>
      </c>
    </row>
    <row r="132" customFormat="false" ht="15" hidden="false" customHeight="false" outlineLevel="0" collapsed="false">
      <c r="A132" s="1" t="s">
        <v>109</v>
      </c>
      <c r="B132" s="1" t="n">
        <f aca="false">VALUE(LEFT(A132,4))</f>
        <v>2024</v>
      </c>
      <c r="C132" s="1" t="n">
        <f aca="false">VALUE(RIGHT(A132,2))</f>
        <v>6</v>
      </c>
      <c r="D132" s="1" t="s">
        <v>43</v>
      </c>
      <c r="E132" s="1" t="n">
        <v>0.041325</v>
      </c>
      <c r="F132" s="1" t="n">
        <v>7.103</v>
      </c>
      <c r="G132" s="1" t="n">
        <v>13</v>
      </c>
      <c r="H132" s="4" t="b">
        <f aca="false">AND(E132&lt;&gt;"",F132&lt;=100,G132&gt;=2)</f>
        <v>1</v>
      </c>
    </row>
    <row r="133" customFormat="false" ht="15" hidden="false" customHeight="false" outlineLevel="0" collapsed="false">
      <c r="A133" s="1" t="s">
        <v>109</v>
      </c>
      <c r="B133" s="1" t="n">
        <f aca="false">VALUE(LEFT(A133,4))</f>
        <v>2024</v>
      </c>
      <c r="C133" s="1" t="n">
        <f aca="false">VALUE(RIGHT(A133,2))</f>
        <v>6</v>
      </c>
      <c r="D133" s="1" t="s">
        <v>44</v>
      </c>
      <c r="E133" s="1" t="n">
        <v>0.113634</v>
      </c>
      <c r="F133" s="1" t="n">
        <v>63.954</v>
      </c>
      <c r="G133" s="1" t="n">
        <v>13</v>
      </c>
      <c r="H133" s="4" t="b">
        <f aca="false">AND(E133&lt;&gt;"",F133&lt;=100,G133&gt;=2)</f>
        <v>1</v>
      </c>
    </row>
    <row r="134" customFormat="false" ht="15" hidden="false" customHeight="false" outlineLevel="0" collapsed="false">
      <c r="A134" s="1" t="s">
        <v>110</v>
      </c>
      <c r="B134" s="1" t="n">
        <f aca="false">VALUE(LEFT(A134,4))</f>
        <v>2024</v>
      </c>
      <c r="C134" s="1" t="n">
        <f aca="false">VALUE(RIGHT(A134,2))</f>
        <v>7</v>
      </c>
      <c r="D134" s="1" t="s">
        <v>43</v>
      </c>
      <c r="E134" s="1" t="n">
        <v>0.071183</v>
      </c>
      <c r="F134" s="1" t="n">
        <v>44.449</v>
      </c>
      <c r="G134" s="1" t="n">
        <v>5</v>
      </c>
      <c r="H134" s="4" t="b">
        <f aca="false">AND(E134&lt;&gt;"",F134&lt;=100,G134&gt;=2)</f>
        <v>1</v>
      </c>
    </row>
    <row r="135" customFormat="false" ht="15" hidden="false" customHeight="false" outlineLevel="0" collapsed="false">
      <c r="A135" s="1" t="s">
        <v>110</v>
      </c>
      <c r="B135" s="1" t="n">
        <f aca="false">VALUE(LEFT(A135,4))</f>
        <v>2024</v>
      </c>
      <c r="C135" s="1" t="n">
        <f aca="false">VALUE(RIGHT(A135,2))</f>
        <v>7</v>
      </c>
      <c r="D135" s="1" t="s">
        <v>44</v>
      </c>
      <c r="E135" s="1" t="n">
        <v>0.132415</v>
      </c>
      <c r="F135" s="1" t="n">
        <v>137.2</v>
      </c>
      <c r="G135" s="1" t="n">
        <v>5</v>
      </c>
      <c r="H135" s="4" t="b">
        <f aca="false">AND(E135&lt;&gt;"",F135&lt;=100,G135&gt;=2)</f>
        <v>0</v>
      </c>
    </row>
    <row r="136" customFormat="false" ht="15" hidden="false" customHeight="false" outlineLevel="0" collapsed="false">
      <c r="A136" s="1" t="s">
        <v>111</v>
      </c>
      <c r="B136" s="1" t="n">
        <f aca="false">VALUE(LEFT(A136,4))</f>
        <v>2024</v>
      </c>
      <c r="C136" s="1" t="n">
        <f aca="false">VALUE(RIGHT(A136,2))</f>
        <v>8</v>
      </c>
      <c r="D136" s="1" t="s">
        <v>43</v>
      </c>
      <c r="E136" s="1" t="n">
        <v>0.033538</v>
      </c>
      <c r="F136" s="1" t="n">
        <v>11.095</v>
      </c>
      <c r="G136" s="1" t="n">
        <v>3</v>
      </c>
      <c r="H136" s="4" t="b">
        <f aca="false">AND(E136&lt;&gt;"",F136&lt;=100,G136&gt;=2)</f>
        <v>1</v>
      </c>
    </row>
    <row r="137" customFormat="false" ht="15" hidden="false" customHeight="false" outlineLevel="0" collapsed="false">
      <c r="A137" s="1" t="s">
        <v>111</v>
      </c>
      <c r="B137" s="1" t="n">
        <f aca="false">VALUE(LEFT(A137,4))</f>
        <v>2024</v>
      </c>
      <c r="C137" s="1" t="n">
        <f aca="false">VALUE(RIGHT(A137,2))</f>
        <v>8</v>
      </c>
      <c r="D137" s="1" t="s">
        <v>44</v>
      </c>
      <c r="E137" s="1"/>
      <c r="F137" s="1"/>
      <c r="G137" s="1" t="n">
        <v>3</v>
      </c>
      <c r="H137" s="4" t="b">
        <f aca="false">AND(E137&lt;&gt;"",F137&lt;=100,G137&gt;=2)</f>
        <v>0</v>
      </c>
    </row>
    <row r="138" customFormat="false" ht="15" hidden="false" customHeight="false" outlineLevel="0" collapsed="false">
      <c r="A138" s="1" t="s">
        <v>112</v>
      </c>
      <c r="B138" s="1" t="n">
        <f aca="false">VALUE(LEFT(A138,4))</f>
        <v>2024</v>
      </c>
      <c r="C138" s="1" t="n">
        <f aca="false">VALUE(RIGHT(A138,2))</f>
        <v>9</v>
      </c>
      <c r="D138" s="1" t="s">
        <v>43</v>
      </c>
      <c r="E138" s="1" t="n">
        <v>0.017715</v>
      </c>
      <c r="F138" s="1" t="n">
        <v>51.423</v>
      </c>
      <c r="G138" s="1" t="n">
        <v>7</v>
      </c>
      <c r="H138" s="4" t="b">
        <f aca="false">AND(E138&lt;&gt;"",F138&lt;=100,G138&gt;=2)</f>
        <v>1</v>
      </c>
    </row>
    <row r="139" customFormat="false" ht="15" hidden="false" customHeight="false" outlineLevel="0" collapsed="false">
      <c r="A139" s="1" t="s">
        <v>112</v>
      </c>
      <c r="B139" s="1" t="n">
        <f aca="false">VALUE(LEFT(A139,4))</f>
        <v>2024</v>
      </c>
      <c r="C139" s="1" t="n">
        <f aca="false">VALUE(RIGHT(A139,2))</f>
        <v>9</v>
      </c>
      <c r="D139" s="1" t="s">
        <v>44</v>
      </c>
      <c r="E139" s="1"/>
      <c r="F139" s="1"/>
      <c r="G139" s="1" t="n">
        <v>7</v>
      </c>
      <c r="H139" s="4" t="b">
        <f aca="false">AND(E139&lt;&gt;"",F139&lt;=100,G139&gt;=2)</f>
        <v>0</v>
      </c>
    </row>
    <row r="140" customFormat="false" ht="15" hidden="false" customHeight="false" outlineLevel="0" collapsed="false">
      <c r="A140" s="1" t="s">
        <v>113</v>
      </c>
      <c r="B140" s="1" t="n">
        <f aca="false">VALUE(LEFT(A140,4))</f>
        <v>2024</v>
      </c>
      <c r="C140" s="1" t="n">
        <f aca="false">VALUE(RIGHT(A140,2))</f>
        <v>10</v>
      </c>
      <c r="D140" s="1" t="s">
        <v>43</v>
      </c>
      <c r="E140" s="1" t="n">
        <v>0.030657</v>
      </c>
      <c r="F140" s="1" t="n">
        <v>34.882</v>
      </c>
      <c r="G140" s="1" t="n">
        <v>8</v>
      </c>
      <c r="H140" s="4" t="b">
        <f aca="false">AND(E140&lt;&gt;"",F140&lt;=100,G140&gt;=2)</f>
        <v>1</v>
      </c>
    </row>
    <row r="141" customFormat="false" ht="15" hidden="false" customHeight="false" outlineLevel="0" collapsed="false">
      <c r="A141" s="1" t="s">
        <v>113</v>
      </c>
      <c r="B141" s="1" t="n">
        <f aca="false">VALUE(LEFT(A141,4))</f>
        <v>2024</v>
      </c>
      <c r="C141" s="1" t="n">
        <f aca="false">VALUE(RIGHT(A141,2))</f>
        <v>10</v>
      </c>
      <c r="D141" s="1" t="s">
        <v>44</v>
      </c>
      <c r="E141" s="1" t="n">
        <v>0.081762</v>
      </c>
      <c r="F141" s="1" t="n">
        <v>54.764</v>
      </c>
      <c r="G141" s="1" t="n">
        <v>8</v>
      </c>
      <c r="H141" s="4" t="b">
        <f aca="false">AND(E141&lt;&gt;"",F141&lt;=100,G141&gt;=2)</f>
        <v>1</v>
      </c>
    </row>
    <row r="142" customFormat="false" ht="15" hidden="false" customHeight="false" outlineLevel="0" collapsed="false">
      <c r="A142" s="1" t="s">
        <v>114</v>
      </c>
      <c r="B142" s="1" t="n">
        <f aca="false">VALUE(LEFT(A142,4))</f>
        <v>2024</v>
      </c>
      <c r="C142" s="1" t="n">
        <f aca="false">VALUE(RIGHT(A142,2))</f>
        <v>11</v>
      </c>
      <c r="D142" s="1" t="s">
        <v>43</v>
      </c>
      <c r="E142" s="1" t="n">
        <v>0.019607</v>
      </c>
      <c r="F142" s="1" t="n">
        <v>38.173</v>
      </c>
      <c r="G142" s="1" t="n">
        <v>2</v>
      </c>
      <c r="H142" s="4" t="b">
        <f aca="false">AND(E142&lt;&gt;"",F142&lt;=100,G142&gt;=2)</f>
        <v>1</v>
      </c>
    </row>
    <row r="143" customFormat="false" ht="15" hidden="false" customHeight="false" outlineLevel="0" collapsed="false">
      <c r="A143" s="1" t="s">
        <v>114</v>
      </c>
      <c r="B143" s="1" t="n">
        <f aca="false">VALUE(LEFT(A143,4))</f>
        <v>2024</v>
      </c>
      <c r="C143" s="1" t="n">
        <f aca="false">VALUE(RIGHT(A143,2))</f>
        <v>11</v>
      </c>
      <c r="D143" s="1" t="s">
        <v>44</v>
      </c>
      <c r="E143" s="1" t="n">
        <v>0.023093</v>
      </c>
      <c r="F143" s="1" t="n">
        <v>579.8</v>
      </c>
      <c r="G143" s="1" t="n">
        <v>2</v>
      </c>
      <c r="H143" s="4" t="b">
        <f aca="false">AND(E143&lt;&gt;"",F143&lt;=100,G143&gt;=2)</f>
        <v>0</v>
      </c>
    </row>
    <row r="144" customFormat="false" ht="15" hidden="false" customHeight="false" outlineLevel="0" collapsed="false">
      <c r="A144" s="1" t="s">
        <v>115</v>
      </c>
      <c r="B144" s="1" t="n">
        <f aca="false">VALUE(LEFT(A144,4))</f>
        <v>2024</v>
      </c>
      <c r="C144" s="1" t="n">
        <f aca="false">VALUE(RIGHT(A144,2))</f>
        <v>12</v>
      </c>
      <c r="D144" s="1" t="s">
        <v>43</v>
      </c>
      <c r="E144" s="1" t="n">
        <v>0.041371</v>
      </c>
      <c r="F144" s="1" t="n">
        <v>62.569</v>
      </c>
      <c r="G144" s="1" t="n">
        <v>12</v>
      </c>
      <c r="H144" s="4" t="b">
        <f aca="false">AND(E144&lt;&gt;"",F144&lt;=100,G144&gt;=2)</f>
        <v>1</v>
      </c>
    </row>
    <row r="145" customFormat="false" ht="15" hidden="false" customHeight="false" outlineLevel="0" collapsed="false">
      <c r="A145" s="1" t="s">
        <v>115</v>
      </c>
      <c r="B145" s="1" t="n">
        <f aca="false">VALUE(LEFT(A145,4))</f>
        <v>2024</v>
      </c>
      <c r="C145" s="1" t="n">
        <f aca="false">VALUE(RIGHT(A145,2))</f>
        <v>12</v>
      </c>
      <c r="D145" s="1" t="s">
        <v>44</v>
      </c>
      <c r="E145" s="1" t="n">
        <v>0.008618</v>
      </c>
      <c r="F145" s="1" t="n">
        <v>581.031</v>
      </c>
      <c r="G145" s="1" t="n">
        <v>12</v>
      </c>
      <c r="H145" s="4" t="b">
        <f aca="false">AND(E145&lt;&gt;"",F145&lt;=100,G145&gt;=2)</f>
        <v>0</v>
      </c>
    </row>
    <row r="146" customFormat="false" ht="15" hidden="false" customHeight="false" outlineLevel="0" collapsed="false">
      <c r="A146" s="1" t="s">
        <v>116</v>
      </c>
      <c r="B146" s="1" t="n">
        <f aca="false">VALUE(LEFT(A146,4))</f>
        <v>2025</v>
      </c>
      <c r="C146" s="1" t="n">
        <f aca="false">VALUE(RIGHT(A146,2))</f>
        <v>1</v>
      </c>
      <c r="D146" s="1" t="s">
        <v>43</v>
      </c>
      <c r="E146" s="1" t="n">
        <v>0.028197</v>
      </c>
      <c r="F146" s="1" t="n">
        <v>30.555</v>
      </c>
      <c r="G146" s="1" t="n">
        <v>4</v>
      </c>
      <c r="H146" s="4" t="b">
        <f aca="false">AND(E146&lt;&gt;"",F146&lt;=100,G146&gt;=2)</f>
        <v>1</v>
      </c>
    </row>
    <row r="147" customFormat="false" ht="15" hidden="false" customHeight="false" outlineLevel="0" collapsed="false">
      <c r="A147" s="1" t="s">
        <v>116</v>
      </c>
      <c r="B147" s="1" t="n">
        <f aca="false">VALUE(LEFT(A147,4))</f>
        <v>2025</v>
      </c>
      <c r="C147" s="1" t="n">
        <f aca="false">VALUE(RIGHT(A147,2))</f>
        <v>1</v>
      </c>
      <c r="D147" s="1" t="s">
        <v>44</v>
      </c>
      <c r="E147" s="1"/>
      <c r="F147" s="1"/>
      <c r="G147" s="1" t="n">
        <v>4</v>
      </c>
      <c r="H147" s="4" t="b">
        <f aca="false">AND(E147&lt;&gt;"",F147&lt;=100,G147&gt;=2)</f>
        <v>0</v>
      </c>
    </row>
    <row r="148" customFormat="false" ht="15" hidden="false" customHeight="false" outlineLevel="0" collapsed="false">
      <c r="A148" s="1" t="s">
        <v>117</v>
      </c>
      <c r="B148" s="1" t="n">
        <f aca="false">VALUE(LEFT(A148,4))</f>
        <v>2025</v>
      </c>
      <c r="C148" s="1" t="n">
        <f aca="false">VALUE(RIGHT(A148,2))</f>
        <v>2</v>
      </c>
      <c r="D148" s="1" t="s">
        <v>43</v>
      </c>
      <c r="E148" s="1"/>
      <c r="F148" s="1"/>
      <c r="G148" s="1" t="n">
        <v>0</v>
      </c>
      <c r="H148" s="4" t="b">
        <f aca="false">AND(E148&lt;&gt;"",F148&lt;=100,G148&gt;=2)</f>
        <v>0</v>
      </c>
    </row>
    <row r="149" customFormat="false" ht="15" hidden="false" customHeight="false" outlineLevel="0" collapsed="false">
      <c r="A149" s="1" t="s">
        <v>117</v>
      </c>
      <c r="B149" s="1" t="n">
        <f aca="false">VALUE(LEFT(A149,4))</f>
        <v>2025</v>
      </c>
      <c r="C149" s="1" t="n">
        <f aca="false">VALUE(RIGHT(A149,2))</f>
        <v>2</v>
      </c>
      <c r="D149" s="1" t="s">
        <v>44</v>
      </c>
      <c r="E149" s="1"/>
      <c r="F149" s="1"/>
      <c r="G149" s="1" t="n">
        <v>0</v>
      </c>
      <c r="H149" s="4" t="b">
        <f aca="false">AND(E149&lt;&gt;"",F149&lt;=100,G149&gt;=2)</f>
        <v>0</v>
      </c>
    </row>
    <row r="150" customFormat="false" ht="15" hidden="false" customHeight="false" outlineLevel="0" collapsed="false">
      <c r="A150" s="1" t="s">
        <v>118</v>
      </c>
      <c r="B150" s="1" t="n">
        <f aca="false">VALUE(LEFT(A150,4))</f>
        <v>2025</v>
      </c>
      <c r="C150" s="1" t="n">
        <f aca="false">VALUE(RIGHT(A150,2))</f>
        <v>3</v>
      </c>
      <c r="D150" s="1" t="s">
        <v>43</v>
      </c>
      <c r="E150" s="1" t="n">
        <v>0.038945</v>
      </c>
      <c r="F150" s="1" t="n">
        <v>62.742</v>
      </c>
      <c r="G150" s="1" t="n">
        <v>7</v>
      </c>
      <c r="H150" s="4" t="b">
        <f aca="false">AND(E150&lt;&gt;"",F150&lt;=100,G150&gt;=2)</f>
        <v>1</v>
      </c>
    </row>
    <row r="151" customFormat="false" ht="15" hidden="false" customHeight="false" outlineLevel="0" collapsed="false">
      <c r="A151" s="1" t="s">
        <v>118</v>
      </c>
      <c r="B151" s="1" t="n">
        <f aca="false">VALUE(LEFT(A151,4))</f>
        <v>2025</v>
      </c>
      <c r="C151" s="1" t="n">
        <f aca="false">VALUE(RIGHT(A151,2))</f>
        <v>3</v>
      </c>
      <c r="D151" s="1" t="s">
        <v>44</v>
      </c>
      <c r="E151" s="1" t="n">
        <v>0.168346</v>
      </c>
      <c r="F151" s="1" t="n">
        <v>103.7</v>
      </c>
      <c r="G151" s="1" t="n">
        <v>7</v>
      </c>
      <c r="H151" s="4" t="b">
        <f aca="false">AND(E151&lt;&gt;"",F151&lt;=100,G151&gt;=2)</f>
        <v>0</v>
      </c>
    </row>
    <row r="152" customFormat="false" ht="15" hidden="false" customHeight="false" outlineLevel="0" collapsed="false">
      <c r="A152" s="1" t="s">
        <v>119</v>
      </c>
      <c r="B152" s="1" t="n">
        <f aca="false">VALUE(LEFT(A152,4))</f>
        <v>2025</v>
      </c>
      <c r="C152" s="1" t="n">
        <f aca="false">VALUE(RIGHT(A152,2))</f>
        <v>4</v>
      </c>
      <c r="D152" s="1" t="s">
        <v>43</v>
      </c>
      <c r="E152" s="1" t="n">
        <v>-0.055757</v>
      </c>
      <c r="F152" s="1" t="n">
        <v>6.669</v>
      </c>
      <c r="G152" s="1" t="n">
        <v>8</v>
      </c>
      <c r="H152" s="4" t="b">
        <f aca="false">AND(E152&lt;&gt;"",F152&lt;=100,G152&gt;=2)</f>
        <v>1</v>
      </c>
    </row>
    <row r="153" customFormat="false" ht="15" hidden="false" customHeight="false" outlineLevel="0" collapsed="false">
      <c r="A153" s="1" t="s">
        <v>119</v>
      </c>
      <c r="B153" s="1" t="n">
        <f aca="false">VALUE(LEFT(A153,4))</f>
        <v>2025</v>
      </c>
      <c r="C153" s="1" t="n">
        <f aca="false">VALUE(RIGHT(A153,2))</f>
        <v>4</v>
      </c>
      <c r="D153" s="1" t="s">
        <v>44</v>
      </c>
      <c r="E153" s="1" t="n">
        <v>0.031294</v>
      </c>
      <c r="F153" s="1" t="n">
        <v>617.056</v>
      </c>
      <c r="G153" s="1" t="n">
        <v>8</v>
      </c>
      <c r="H153" s="4" t="b">
        <f aca="false">AND(E153&lt;&gt;"",F153&lt;=100,G153&gt;=2)</f>
        <v>0</v>
      </c>
    </row>
    <row r="154" customFormat="false" ht="15" hidden="false" customHeight="false" outlineLevel="0" collapsed="false">
      <c r="A154" s="1" t="s">
        <v>120</v>
      </c>
      <c r="B154" s="1" t="n">
        <f aca="false">VALUE(LEFT(A154,4))</f>
        <v>2025</v>
      </c>
      <c r="C154" s="1" t="n">
        <f aca="false">VALUE(RIGHT(A154,2))</f>
        <v>5</v>
      </c>
      <c r="D154" s="1" t="s">
        <v>43</v>
      </c>
      <c r="E154" s="1" t="n">
        <v>-0.067061</v>
      </c>
      <c r="F154" s="1" t="n">
        <v>13.268</v>
      </c>
      <c r="G154" s="1" t="n">
        <v>1</v>
      </c>
      <c r="H154" s="4" t="b">
        <f aca="false">AND(E154&lt;&gt;"",F154&lt;=100,G154&gt;=2)</f>
        <v>0</v>
      </c>
    </row>
    <row r="155" customFormat="false" ht="15" hidden="false" customHeight="false" outlineLevel="0" collapsed="false">
      <c r="A155" s="1" t="s">
        <v>120</v>
      </c>
      <c r="B155" s="1" t="n">
        <f aca="false">VALUE(LEFT(A155,4))</f>
        <v>2025</v>
      </c>
      <c r="C155" s="1" t="n">
        <f aca="false">VALUE(RIGHT(A155,2))</f>
        <v>5</v>
      </c>
      <c r="D155" s="1" t="s">
        <v>44</v>
      </c>
      <c r="E155" s="1"/>
      <c r="F155" s="1"/>
      <c r="G155" s="1" t="n">
        <v>1</v>
      </c>
      <c r="H155" s="4" t="b">
        <f aca="false">AND(E155&lt;&gt;"",F155&lt;=100,G155&gt;=2)</f>
        <v>0</v>
      </c>
    </row>
    <row r="156" customFormat="false" ht="15" hidden="false" customHeight="false" outlineLevel="0" collapsed="false">
      <c r="A156" s="1" t="s">
        <v>121</v>
      </c>
      <c r="B156" s="1" t="n">
        <f aca="false">VALUE(LEFT(A156,4))</f>
        <v>2025</v>
      </c>
      <c r="C156" s="1" t="n">
        <f aca="false">VALUE(RIGHT(A156,2))</f>
        <v>6</v>
      </c>
      <c r="D156" s="1" t="s">
        <v>43</v>
      </c>
      <c r="E156" s="1" t="n">
        <v>0.063068</v>
      </c>
      <c r="F156" s="1" t="n">
        <v>19.352</v>
      </c>
      <c r="G156" s="1" t="n">
        <v>14</v>
      </c>
      <c r="H156" s="4" t="b">
        <f aca="false">AND(E156&lt;&gt;"",F156&lt;=100,G156&gt;=2)</f>
        <v>1</v>
      </c>
    </row>
    <row r="157" customFormat="false" ht="15" hidden="false" customHeight="false" outlineLevel="0" collapsed="false">
      <c r="A157" s="1" t="s">
        <v>121</v>
      </c>
      <c r="B157" s="1" t="n">
        <f aca="false">VALUE(LEFT(A157,4))</f>
        <v>2025</v>
      </c>
      <c r="C157" s="1" t="n">
        <f aca="false">VALUE(RIGHT(A157,2))</f>
        <v>6</v>
      </c>
      <c r="D157" s="1" t="s">
        <v>44</v>
      </c>
      <c r="E157" s="1" t="n">
        <v>0.175735</v>
      </c>
      <c r="F157" s="1" t="n">
        <v>131.8</v>
      </c>
      <c r="G157" s="1" t="n">
        <v>14</v>
      </c>
      <c r="H157" s="4" t="b">
        <f aca="false">AND(E157&lt;&gt;"",F157&lt;=100,G157&gt;=2)</f>
        <v>0</v>
      </c>
    </row>
    <row r="158" customFormat="false" ht="15" hidden="false" customHeight="false" outlineLevel="0" collapsed="false">
      <c r="A158" s="1" t="s">
        <v>122</v>
      </c>
      <c r="B158" s="1" t="n">
        <f aca="false">VALUE(LEFT(A158,4))</f>
        <v>2025</v>
      </c>
      <c r="C158" s="1" t="n">
        <f aca="false">VALUE(RIGHT(A158,2))</f>
        <v>7</v>
      </c>
      <c r="D158" s="1" t="s">
        <v>43</v>
      </c>
      <c r="E158" s="1" t="n">
        <v>0.019681</v>
      </c>
      <c r="F158" s="1" t="n">
        <v>42.702</v>
      </c>
      <c r="G158" s="1" t="n">
        <v>15</v>
      </c>
      <c r="H158" s="4" t="b">
        <f aca="false">AND(E158&lt;&gt;"",F158&lt;=100,G158&gt;=2)</f>
        <v>1</v>
      </c>
    </row>
    <row r="159" customFormat="false" ht="15" hidden="false" customHeight="false" outlineLevel="0" collapsed="false">
      <c r="A159" s="1" t="s">
        <v>122</v>
      </c>
      <c r="B159" s="1" t="n">
        <f aca="false">VALUE(LEFT(A159,4))</f>
        <v>2025</v>
      </c>
      <c r="C159" s="1" t="n">
        <f aca="false">VALUE(RIGHT(A159,2))</f>
        <v>7</v>
      </c>
      <c r="D159" s="1" t="s">
        <v>44</v>
      </c>
      <c r="E159" s="1" t="n">
        <v>0.137439</v>
      </c>
      <c r="F159" s="1" t="n">
        <v>66.557</v>
      </c>
      <c r="G159" s="1" t="n">
        <v>15</v>
      </c>
      <c r="H159" s="4" t="b">
        <f aca="false">AND(E159&lt;&gt;"",F159&lt;=100,G159&gt;=2)</f>
        <v>1</v>
      </c>
    </row>
    <row r="160" customFormat="false" ht="15" hidden="false" customHeight="false" outlineLevel="0" collapsed="false">
      <c r="A160" s="1" t="s">
        <v>123</v>
      </c>
      <c r="B160" s="1" t="n">
        <f aca="false">VALUE(LEFT(A160,4))</f>
        <v>2025</v>
      </c>
      <c r="C160" s="1" t="n">
        <f aca="false">VALUE(RIGHT(A160,2))</f>
        <v>8</v>
      </c>
      <c r="D160" s="1" t="s">
        <v>43</v>
      </c>
      <c r="E160" s="1" t="n">
        <v>0.021302</v>
      </c>
      <c r="F160" s="1" t="n">
        <v>26.483</v>
      </c>
      <c r="G160" s="1" t="n">
        <v>11</v>
      </c>
      <c r="H160" s="4" t="b">
        <f aca="false">AND(E160&lt;&gt;"",F160&lt;=100,G160&gt;=2)</f>
        <v>1</v>
      </c>
    </row>
    <row r="161" customFormat="false" ht="15" hidden="false" customHeight="false" outlineLevel="0" collapsed="false">
      <c r="A161" s="1" t="s">
        <v>123</v>
      </c>
      <c r="B161" s="1" t="n">
        <f aca="false">VALUE(LEFT(A161,4))</f>
        <v>2025</v>
      </c>
      <c r="C161" s="1" t="n">
        <f aca="false">VALUE(RIGHT(A161,2))</f>
        <v>8</v>
      </c>
      <c r="D161" s="1" t="s">
        <v>44</v>
      </c>
      <c r="E161" s="1" t="n">
        <v>0.210088</v>
      </c>
      <c r="F161" s="1" t="n">
        <v>42.831</v>
      </c>
      <c r="G161" s="1" t="n">
        <v>11</v>
      </c>
      <c r="H161" s="4" t="b">
        <f aca="false">AND(E161&lt;&gt;"",F161&lt;=100,G161&gt;=2)</f>
        <v>1</v>
      </c>
    </row>
    <row r="162" customFormat="false" ht="15" hidden="false" customHeight="false" outlineLevel="0" collapsed="false">
      <c r="A162" s="1" t="s">
        <v>124</v>
      </c>
      <c r="B162" s="1" t="n">
        <f aca="false">VALUE(LEFT(A162,4))</f>
        <v>2025</v>
      </c>
      <c r="C162" s="1" t="n">
        <f aca="false">VALUE(RIGHT(A162,2))</f>
        <v>9</v>
      </c>
      <c r="D162" s="1" t="s">
        <v>43</v>
      </c>
      <c r="E162" s="1" t="n">
        <v>0.03713</v>
      </c>
      <c r="F162" s="1" t="n">
        <v>41.2</v>
      </c>
      <c r="G162" s="1" t="n">
        <v>2</v>
      </c>
      <c r="H162" s="4" t="b">
        <f aca="false">AND(E162&lt;&gt;"",F162&lt;=100,G162&gt;=2)</f>
        <v>1</v>
      </c>
    </row>
    <row r="163" customFormat="false" ht="15" hidden="false" customHeight="false" outlineLevel="0" collapsed="false">
      <c r="A163" s="1" t="s">
        <v>124</v>
      </c>
      <c r="B163" s="1" t="n">
        <f aca="false">VALUE(LEFT(A163,4))</f>
        <v>2025</v>
      </c>
      <c r="C163" s="1" t="n">
        <f aca="false">VALUE(RIGHT(A163,2))</f>
        <v>9</v>
      </c>
      <c r="D163" s="1" t="s">
        <v>44</v>
      </c>
      <c r="E163" s="1"/>
      <c r="F163" s="1"/>
      <c r="G163" s="1" t="n">
        <v>2</v>
      </c>
      <c r="H163" s="4" t="b">
        <f aca="false">AND(E163&lt;&gt;"",F163&lt;=100,G163&gt;=2)</f>
        <v>0</v>
      </c>
    </row>
    <row r="164" customFormat="false" ht="15" hidden="false" customHeight="false" outlineLevel="0" collapsed="false">
      <c r="A164" s="1" t="s">
        <v>125</v>
      </c>
      <c r="B164" s="1" t="n">
        <f aca="false">VALUE(LEFT(A164,4))</f>
        <v>2025</v>
      </c>
      <c r="C164" s="1" t="n">
        <f aca="false">VALUE(RIGHT(A164,2))</f>
        <v>10</v>
      </c>
      <c r="D164" s="1" t="s">
        <v>43</v>
      </c>
      <c r="E164" s="1" t="n">
        <v>0.03555</v>
      </c>
      <c r="F164" s="1" t="n">
        <v>24.927</v>
      </c>
      <c r="G164" s="1" t="n">
        <v>8</v>
      </c>
      <c r="H164" s="4" t="b">
        <f aca="false">AND(E164&lt;&gt;"",F164&lt;=100,G164&gt;=2)</f>
        <v>1</v>
      </c>
    </row>
    <row r="165" customFormat="false" ht="15" hidden="false" customHeight="false" outlineLevel="0" collapsed="false">
      <c r="A165" s="1" t="s">
        <v>125</v>
      </c>
      <c r="B165" s="1" t="n">
        <f aca="false">VALUE(LEFT(A165,4))</f>
        <v>2025</v>
      </c>
      <c r="C165" s="1" t="n">
        <f aca="false">VALUE(RIGHT(A165,2))</f>
        <v>10</v>
      </c>
      <c r="D165" s="1" t="s">
        <v>44</v>
      </c>
      <c r="E165" s="1" t="n">
        <v>0.02925</v>
      </c>
      <c r="F165" s="1" t="n">
        <v>352.249</v>
      </c>
      <c r="G165" s="1" t="n">
        <v>8</v>
      </c>
      <c r="H165" s="4" t="b">
        <f aca="false">AND(E165&lt;&gt;"",F165&lt;=100,G165&gt;=2)</f>
        <v>0</v>
      </c>
    </row>
    <row r="166" customFormat="false" ht="15" hidden="false" customHeight="false" outlineLevel="0" collapsed="false">
      <c r="A166" s="1" t="s">
        <v>126</v>
      </c>
      <c r="B166" s="1" t="n">
        <f aca="false">VALUE(LEFT(A166,4))</f>
        <v>2025</v>
      </c>
      <c r="C166" s="1" t="n">
        <f aca="false">VALUE(RIGHT(A166,2))</f>
        <v>11</v>
      </c>
      <c r="D166" s="1" t="s">
        <v>43</v>
      </c>
      <c r="E166" s="1"/>
      <c r="F166" s="1"/>
      <c r="G166" s="1" t="n">
        <v>0</v>
      </c>
      <c r="H166" s="4" t="b">
        <f aca="false">AND(E166&lt;&gt;"",F166&lt;=100,G166&gt;=2)</f>
        <v>0</v>
      </c>
    </row>
    <row r="167" customFormat="false" ht="15" hidden="false" customHeight="false" outlineLevel="0" collapsed="false">
      <c r="A167" s="1" t="s">
        <v>126</v>
      </c>
      <c r="B167" s="1" t="n">
        <f aca="false">VALUE(LEFT(A167,4))</f>
        <v>2025</v>
      </c>
      <c r="C167" s="1" t="n">
        <f aca="false">VALUE(RIGHT(A167,2))</f>
        <v>11</v>
      </c>
      <c r="D167" s="1" t="s">
        <v>44</v>
      </c>
      <c r="E167" s="1"/>
      <c r="F167" s="1"/>
      <c r="G167" s="1" t="n">
        <v>0</v>
      </c>
      <c r="H167" s="4" t="b">
        <f aca="false">AND(E167&lt;&gt;"",F167&lt;=100,G167&gt;=2)</f>
        <v>0</v>
      </c>
    </row>
    <row r="168" customFormat="false" ht="15" hidden="false" customHeight="false" outlineLevel="0" collapsed="false">
      <c r="A168" s="1" t="s">
        <v>127</v>
      </c>
      <c r="B168" s="1" t="n">
        <f aca="false">VALUE(LEFT(A168,4))</f>
        <v>2025</v>
      </c>
      <c r="C168" s="1" t="n">
        <f aca="false">VALUE(RIGHT(A168,2))</f>
        <v>12</v>
      </c>
      <c r="D168" s="1" t="s">
        <v>43</v>
      </c>
      <c r="E168" s="1" t="n">
        <v>0.030204</v>
      </c>
      <c r="F168" s="1" t="n">
        <v>17.193</v>
      </c>
      <c r="G168" s="1" t="n">
        <v>9</v>
      </c>
      <c r="H168" s="4" t="b">
        <f aca="false">AND(E168&lt;&gt;"",F168&lt;=100,G168&gt;=2)</f>
        <v>1</v>
      </c>
    </row>
    <row r="169" customFormat="false" ht="15" hidden="false" customHeight="false" outlineLevel="0" collapsed="false">
      <c r="A169" s="1" t="s">
        <v>127</v>
      </c>
      <c r="B169" s="1" t="n">
        <f aca="false">VALUE(LEFT(A169,4))</f>
        <v>2025</v>
      </c>
      <c r="C169" s="1" t="n">
        <f aca="false">VALUE(RIGHT(A169,2))</f>
        <v>12</v>
      </c>
      <c r="D169" s="1" t="s">
        <v>44</v>
      </c>
      <c r="E169" s="1" t="n">
        <v>0.010246</v>
      </c>
      <c r="F169" s="1" t="n">
        <v>403.643</v>
      </c>
      <c r="G169" s="1" t="n">
        <v>9</v>
      </c>
      <c r="H169" s="4" t="b">
        <f aca="false">AND(E169&lt;&gt;"",F169&lt;=100,G169&gt;=2)</f>
        <v>0</v>
      </c>
    </row>
    <row r="170" customFormat="false" ht="15" hidden="false" customHeight="false" outlineLevel="0" collapsed="false">
      <c r="A170" s="1" t="s">
        <v>128</v>
      </c>
      <c r="B170" s="1" t="n">
        <f aca="false">VALUE(LEFT(A170,4))</f>
        <v>2026</v>
      </c>
      <c r="C170" s="1" t="n">
        <f aca="false">VALUE(RIGHT(A170,2))</f>
        <v>1</v>
      </c>
      <c r="D170" s="1" t="s">
        <v>43</v>
      </c>
      <c r="E170" s="1" t="n">
        <v>0.0249</v>
      </c>
      <c r="F170" s="1" t="n">
        <v>23.216</v>
      </c>
      <c r="G170" s="1" t="n">
        <v>7</v>
      </c>
      <c r="H170" s="4" t="b">
        <f aca="false">AND(E170&lt;&gt;"",F170&lt;=100,G170&gt;=2)</f>
        <v>1</v>
      </c>
    </row>
    <row r="171" customFormat="false" ht="15" hidden="false" customHeight="false" outlineLevel="0" collapsed="false">
      <c r="A171" s="1" t="s">
        <v>128</v>
      </c>
      <c r="B171" s="1" t="n">
        <f aca="false">VALUE(LEFT(A171,4))</f>
        <v>2026</v>
      </c>
      <c r="C171" s="1" t="n">
        <f aca="false">VALUE(RIGHT(A171,2))</f>
        <v>1</v>
      </c>
      <c r="D171" s="1" t="s">
        <v>44</v>
      </c>
      <c r="E171" s="1" t="n">
        <v>0.198646</v>
      </c>
      <c r="F171" s="1" t="n">
        <v>78.233</v>
      </c>
      <c r="G171" s="1" t="n">
        <v>7</v>
      </c>
      <c r="H171" s="4" t="b">
        <f aca="false">AND(E171&lt;&gt;"",F171&lt;=100,G171&gt;=2)</f>
        <v>1</v>
      </c>
    </row>
    <row r="172" customFormat="false" ht="15" hidden="false" customHeight="false" outlineLevel="0" collapsed="false">
      <c r="A172" s="1" t="s">
        <v>129</v>
      </c>
      <c r="B172" s="1" t="n">
        <f aca="false">VALUE(LEFT(A172,4))</f>
        <v>2026</v>
      </c>
      <c r="C172" s="1" t="n">
        <f aca="false">VALUE(RIGHT(A172,2))</f>
        <v>2</v>
      </c>
      <c r="D172" s="1" t="s">
        <v>43</v>
      </c>
      <c r="E172" s="1"/>
      <c r="F172" s="1"/>
      <c r="G172" s="1" t="n">
        <v>6</v>
      </c>
      <c r="H172" s="4" t="b">
        <f aca="false">AND(E172&lt;&gt;"",F172&lt;=100,G172&gt;=2)</f>
        <v>0</v>
      </c>
    </row>
    <row r="173" customFormat="false" ht="15" hidden="false" customHeight="false" outlineLevel="0" collapsed="false">
      <c r="A173" s="1" t="s">
        <v>129</v>
      </c>
      <c r="B173" s="1" t="n">
        <f aca="false">VALUE(LEFT(A173,4))</f>
        <v>2026</v>
      </c>
      <c r="C173" s="1" t="n">
        <f aca="false">VALUE(RIGHT(A173,2))</f>
        <v>2</v>
      </c>
      <c r="D173" s="1" t="s">
        <v>44</v>
      </c>
      <c r="E173" s="1" t="n">
        <v>0.153349</v>
      </c>
      <c r="F173" s="1" t="n">
        <v>31.35</v>
      </c>
      <c r="G173" s="1" t="n">
        <v>6</v>
      </c>
      <c r="H173" s="4" t="b">
        <f aca="false">AND(E173&lt;&gt;"",F173&lt;=100,G173&gt;=2)</f>
        <v>1</v>
      </c>
    </row>
    <row r="174" customFormat="false" ht="15" hidden="false" customHeight="false" outlineLevel="0" collapsed="false">
      <c r="A174" s="1" t="s">
        <v>130</v>
      </c>
      <c r="B174" s="1" t="n">
        <f aca="false">VALUE(LEFT(A174,4))</f>
        <v>2026</v>
      </c>
      <c r="C174" s="1" t="n">
        <f aca="false">VALUE(RIGHT(A174,2))</f>
        <v>3</v>
      </c>
      <c r="D174" s="1" t="s">
        <v>43</v>
      </c>
      <c r="E174" s="1" t="n">
        <v>0.027876</v>
      </c>
      <c r="F174" s="1" t="n">
        <v>30.693</v>
      </c>
      <c r="G174" s="1" t="n">
        <v>10</v>
      </c>
      <c r="H174" s="4" t="b">
        <f aca="false">AND(E174&lt;&gt;"",F174&lt;=100,G174&gt;=2)</f>
        <v>1</v>
      </c>
    </row>
    <row r="175" customFormat="false" ht="15" hidden="false" customHeight="false" outlineLevel="0" collapsed="false">
      <c r="A175" s="1" t="s">
        <v>130</v>
      </c>
      <c r="B175" s="1" t="n">
        <f aca="false">VALUE(LEFT(A175,4))</f>
        <v>2026</v>
      </c>
      <c r="C175" s="1" t="n">
        <f aca="false">VALUE(RIGHT(A175,2))</f>
        <v>3</v>
      </c>
      <c r="D175" s="1" t="s">
        <v>44</v>
      </c>
      <c r="E175" s="1"/>
      <c r="F175" s="1"/>
      <c r="G175" s="1" t="n">
        <v>10</v>
      </c>
      <c r="H175" s="4" t="b">
        <f aca="false">AND(E175&lt;&gt;"",F175&lt;=100,G175&gt;=2)</f>
        <v>0</v>
      </c>
    </row>
    <row r="176" customFormat="false" ht="15" hidden="false" customHeight="false" outlineLevel="0" collapsed="false">
      <c r="A176" s="1" t="s">
        <v>131</v>
      </c>
      <c r="B176" s="1" t="n">
        <f aca="false">VALUE(LEFT(A176,4))</f>
        <v>2026</v>
      </c>
      <c r="C176" s="1" t="n">
        <f aca="false">VALUE(RIGHT(A176,2))</f>
        <v>4</v>
      </c>
      <c r="D176" s="1" t="s">
        <v>43</v>
      </c>
      <c r="E176" s="1" t="n">
        <v>-0.009065</v>
      </c>
      <c r="F176" s="1" t="n">
        <v>22.515</v>
      </c>
      <c r="G176" s="1" t="n">
        <v>9</v>
      </c>
      <c r="H176" s="4" t="b">
        <f aca="false">AND(E176&lt;&gt;"",F176&lt;=100,G176&gt;=2)</f>
        <v>1</v>
      </c>
    </row>
    <row r="177" customFormat="false" ht="15" hidden="false" customHeight="false" outlineLevel="0" collapsed="false">
      <c r="A177" s="1" t="s">
        <v>131</v>
      </c>
      <c r="B177" s="1" t="n">
        <f aca="false">VALUE(LEFT(A177,4))</f>
        <v>2026</v>
      </c>
      <c r="C177" s="1" t="n">
        <f aca="false">VALUE(RIGHT(A177,2))</f>
        <v>4</v>
      </c>
      <c r="D177" s="1" t="s">
        <v>44</v>
      </c>
      <c r="E177" s="1"/>
      <c r="F177" s="1"/>
      <c r="G177" s="1" t="n">
        <v>9</v>
      </c>
      <c r="H177" s="4" t="b">
        <f aca="false">AND(E177&lt;&gt;"",F177&lt;=100,G177&gt;=2)</f>
        <v>0</v>
      </c>
    </row>
    <row r="178" customFormat="false" ht="15" hidden="false" customHeight="false" outlineLevel="0" collapsed="false">
      <c r="A178" s="1" t="s">
        <v>132</v>
      </c>
      <c r="B178" s="1" t="n">
        <f aca="false">VALUE(LEFT(A178,4))</f>
        <v>2026</v>
      </c>
      <c r="C178" s="1" t="n">
        <f aca="false">VALUE(RIGHT(A178,2))</f>
        <v>5</v>
      </c>
      <c r="D178" s="1" t="s">
        <v>43</v>
      </c>
      <c r="E178" s="1" t="n">
        <v>0.029892</v>
      </c>
      <c r="F178" s="1" t="n">
        <v>29.399</v>
      </c>
      <c r="G178" s="1" t="n">
        <v>15</v>
      </c>
      <c r="H178" s="4" t="b">
        <f aca="false">AND(E178&lt;&gt;"",F178&lt;=100,G178&gt;=2)</f>
        <v>1</v>
      </c>
    </row>
    <row r="179" customFormat="false" ht="15" hidden="false" customHeight="false" outlineLevel="0" collapsed="false">
      <c r="A179" s="1" t="s">
        <v>132</v>
      </c>
      <c r="B179" s="1" t="n">
        <f aca="false">VALUE(LEFT(A179,4))</f>
        <v>2026</v>
      </c>
      <c r="C179" s="1" t="n">
        <f aca="false">VALUE(RIGHT(A179,2))</f>
        <v>5</v>
      </c>
      <c r="D179" s="1" t="s">
        <v>44</v>
      </c>
      <c r="E179" s="1" t="n">
        <v>0.146416</v>
      </c>
      <c r="F179" s="1" t="n">
        <v>103.45</v>
      </c>
      <c r="G179" s="1" t="n">
        <v>15</v>
      </c>
      <c r="H179" s="4" t="b">
        <f aca="false">AND(E179&lt;&gt;"",F179&lt;=100,G179&gt;=2)</f>
        <v>0</v>
      </c>
    </row>
    <row r="180" customFormat="false" ht="15" hidden="false" customHeight="false" outlineLevel="0" collapsed="false">
      <c r="A180" s="1" t="s">
        <v>133</v>
      </c>
      <c r="B180" s="1" t="n">
        <f aca="false">VALUE(LEFT(A180,4))</f>
        <v>2026</v>
      </c>
      <c r="C180" s="1" t="n">
        <f aca="false">VALUE(RIGHT(A180,2))</f>
        <v>6</v>
      </c>
      <c r="D180" s="1" t="s">
        <v>43</v>
      </c>
      <c r="E180" s="1"/>
      <c r="F180" s="1"/>
      <c r="G180" s="1" t="n">
        <v>0</v>
      </c>
      <c r="H180" s="4" t="b">
        <f aca="false">AND(E180&lt;&gt;"",F180&lt;=100,G180&gt;=2)</f>
        <v>0</v>
      </c>
    </row>
    <row r="181" customFormat="false" ht="15" hidden="false" customHeight="false" outlineLevel="0" collapsed="false">
      <c r="A181" s="1" t="s">
        <v>133</v>
      </c>
      <c r="B181" s="1" t="n">
        <f aca="false">VALUE(LEFT(A181,4))</f>
        <v>2026</v>
      </c>
      <c r="C181" s="1" t="n">
        <f aca="false">VALUE(RIGHT(A181,2))</f>
        <v>6</v>
      </c>
      <c r="D181" s="1" t="s">
        <v>44</v>
      </c>
      <c r="E181" s="1"/>
      <c r="F181" s="1"/>
      <c r="G181" s="1" t="n">
        <v>0</v>
      </c>
      <c r="H181" s="4" t="b">
        <f aca="false">AND(E181&lt;&gt;"",F181&lt;=100,G181&gt;=2)</f>
        <v>0</v>
      </c>
    </row>
    <row r="182" customFormat="false" ht="15" hidden="false" customHeight="false" outlineLevel="0" collapsed="false">
      <c r="A182" s="1" t="s">
        <v>134</v>
      </c>
      <c r="B182" s="1" t="n">
        <f aca="false">VALUE(LEFT(A182,4))</f>
        <v>2026</v>
      </c>
      <c r="C182" s="1" t="n">
        <f aca="false">VALUE(RIGHT(A182,2))</f>
        <v>7</v>
      </c>
      <c r="D182" s="1" t="s">
        <v>43</v>
      </c>
      <c r="E182" s="1" t="n">
        <v>3.1E-005</v>
      </c>
      <c r="F182" s="1" t="n">
        <v>17.013</v>
      </c>
      <c r="G182" s="1" t="n">
        <v>11</v>
      </c>
      <c r="H182" s="4" t="b">
        <f aca="false">AND(E182&lt;&gt;"",F182&lt;=100,G182&gt;=2)</f>
        <v>1</v>
      </c>
    </row>
    <row r="183" customFormat="false" ht="15" hidden="false" customHeight="false" outlineLevel="0" collapsed="false">
      <c r="A183" s="1" t="s">
        <v>134</v>
      </c>
      <c r="B183" s="1" t="n">
        <f aca="false">VALUE(LEFT(A183,4))</f>
        <v>2026</v>
      </c>
      <c r="C183" s="1" t="n">
        <f aca="false">VALUE(RIGHT(A183,2))</f>
        <v>7</v>
      </c>
      <c r="D183" s="1" t="s">
        <v>44</v>
      </c>
      <c r="E183" s="1" t="n">
        <v>0.013278</v>
      </c>
      <c r="F183" s="1" t="n">
        <v>179.001</v>
      </c>
      <c r="G183" s="1" t="n">
        <v>11</v>
      </c>
      <c r="H183" s="4" t="b">
        <f aca="false">AND(E183&lt;&gt;"",F183&lt;=100,G183&gt;=2)</f>
        <v>0</v>
      </c>
    </row>
    <row r="184" customFormat="false" ht="15" hidden="false" customHeight="false" outlineLevel="0" collapsed="false">
      <c r="A184" s="1" t="s">
        <v>135</v>
      </c>
      <c r="B184" s="1" t="n">
        <f aca="false">VALUE(LEFT(A184,4))</f>
        <v>2026</v>
      </c>
      <c r="C184" s="1" t="n">
        <f aca="false">VALUE(RIGHT(A184,2))</f>
        <v>8</v>
      </c>
      <c r="D184" s="1" t="s">
        <v>43</v>
      </c>
      <c r="E184" s="1" t="n">
        <v>0.015463</v>
      </c>
      <c r="F184" s="1" t="n">
        <v>24.275</v>
      </c>
      <c r="G184" s="1" t="n">
        <v>8</v>
      </c>
      <c r="H184" s="4" t="b">
        <f aca="false">AND(E184&lt;&gt;"",F184&lt;=100,G184&gt;=2)</f>
        <v>1</v>
      </c>
    </row>
    <row r="185" customFormat="false" ht="15" hidden="false" customHeight="false" outlineLevel="0" collapsed="false">
      <c r="A185" s="1" t="s">
        <v>135</v>
      </c>
      <c r="B185" s="1" t="n">
        <f aca="false">VALUE(LEFT(A185,4))</f>
        <v>2026</v>
      </c>
      <c r="C185" s="1" t="n">
        <f aca="false">VALUE(RIGHT(A185,2))</f>
        <v>8</v>
      </c>
      <c r="D185" s="1" t="s">
        <v>44</v>
      </c>
      <c r="E185" s="1" t="n">
        <v>0.145677</v>
      </c>
      <c r="F185" s="1" t="n">
        <v>83.763</v>
      </c>
      <c r="G185" s="1" t="n">
        <v>8</v>
      </c>
      <c r="H185" s="4" t="b">
        <f aca="false">AND(E185&lt;&gt;"",F185&lt;=100,G185&gt;=2)</f>
        <v>1</v>
      </c>
    </row>
    <row r="186" customFormat="false" ht="15" hidden="false" customHeight="false" outlineLevel="0" collapsed="false">
      <c r="A186" s="1" t="s">
        <v>136</v>
      </c>
      <c r="B186" s="1" t="n">
        <f aca="false">VALUE(LEFT(A186,4))</f>
        <v>2026</v>
      </c>
      <c r="C186" s="1" t="n">
        <f aca="false">VALUE(RIGHT(A186,2))</f>
        <v>9</v>
      </c>
      <c r="D186" s="1" t="s">
        <v>43</v>
      </c>
      <c r="E186" s="1" t="n">
        <v>0.033879</v>
      </c>
      <c r="F186" s="1" t="n">
        <v>31.845</v>
      </c>
      <c r="G186" s="1" t="n">
        <v>8</v>
      </c>
      <c r="H186" s="4" t="b">
        <f aca="false">AND(E186&lt;&gt;"",F186&lt;=100,G186&gt;=2)</f>
        <v>1</v>
      </c>
    </row>
    <row r="187" customFormat="false" ht="15" hidden="false" customHeight="false" outlineLevel="0" collapsed="false">
      <c r="A187" s="1" t="s">
        <v>136</v>
      </c>
      <c r="B187" s="1" t="n">
        <f aca="false">VALUE(LEFT(A187,4))</f>
        <v>2026</v>
      </c>
      <c r="C187" s="1" t="n">
        <f aca="false">VALUE(RIGHT(A187,2))</f>
        <v>9</v>
      </c>
      <c r="D187" s="1" t="s">
        <v>44</v>
      </c>
      <c r="E187" s="1" t="n">
        <v>0.022831</v>
      </c>
      <c r="F187" s="1" t="n">
        <v>267.828</v>
      </c>
      <c r="G187" s="1" t="n">
        <v>8</v>
      </c>
      <c r="H187" s="4" t="b">
        <f aca="false">AND(E187&lt;&gt;"",F187&lt;=100,G187&gt;=2)</f>
        <v>0</v>
      </c>
    </row>
    <row r="188" customFormat="false" ht="15" hidden="false" customHeight="false" outlineLevel="0" collapsed="false">
      <c r="A188" s="1" t="s">
        <v>137</v>
      </c>
      <c r="B188" s="1" t="n">
        <f aca="false">VALUE(LEFT(A188,4))</f>
        <v>2026</v>
      </c>
      <c r="C188" s="1" t="n">
        <f aca="false">VALUE(RIGHT(A188,2))</f>
        <v>10</v>
      </c>
      <c r="D188" s="1" t="s">
        <v>43</v>
      </c>
      <c r="E188" s="1"/>
      <c r="F188" s="1"/>
      <c r="G188" s="1" t="n">
        <v>0</v>
      </c>
      <c r="H188" s="4" t="b">
        <f aca="false">AND(E188&lt;&gt;"",F188&lt;=100,G188&gt;=2)</f>
        <v>0</v>
      </c>
    </row>
    <row r="189" customFormat="false" ht="15" hidden="false" customHeight="false" outlineLevel="0" collapsed="false">
      <c r="A189" s="1" t="s">
        <v>137</v>
      </c>
      <c r="B189" s="1" t="n">
        <f aca="false">VALUE(LEFT(A189,4))</f>
        <v>2026</v>
      </c>
      <c r="C189" s="1" t="n">
        <f aca="false">VALUE(RIGHT(A189,2))</f>
        <v>10</v>
      </c>
      <c r="D189" s="1" t="s">
        <v>44</v>
      </c>
      <c r="E189" s="1"/>
      <c r="F189" s="1"/>
      <c r="G189" s="1" t="n">
        <v>0</v>
      </c>
      <c r="H189" s="4" t="b">
        <f aca="false">AND(E189&lt;&gt;"",F189&lt;=100,G189&gt;=2)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42"/>
  </cols>
  <sheetData>
    <row r="1" customFormat="false" ht="15" hidden="false" customHeight="false" outlineLevel="0" collapsed="false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22</v>
      </c>
      <c r="G1" s="2" t="s">
        <v>24</v>
      </c>
      <c r="H1" s="2" t="s">
        <v>145</v>
      </c>
    </row>
    <row r="2" customFormat="false" ht="15" hidden="false" customHeight="false" outlineLevel="0" collapsed="false">
      <c r="A2" s="1" t="s">
        <v>146</v>
      </c>
      <c r="B2" s="1" t="s">
        <v>147</v>
      </c>
      <c r="C2" s="1" t="s">
        <v>148</v>
      </c>
      <c r="D2" s="1" t="n">
        <v>2.341625</v>
      </c>
      <c r="E2" s="1" t="n">
        <v>99.062615</v>
      </c>
      <c r="F2" s="1" t="n">
        <v>0.026503</v>
      </c>
      <c r="G2" s="1" t="n">
        <v>35.184</v>
      </c>
      <c r="H2" s="1"/>
    </row>
    <row r="3" customFormat="false" ht="15" hidden="false" customHeight="false" outlineLevel="0" collapsed="false">
      <c r="A3" s="1" t="s">
        <v>146</v>
      </c>
      <c r="B3" s="1" t="s">
        <v>149</v>
      </c>
      <c r="C3" s="1" t="s">
        <v>148</v>
      </c>
      <c r="D3" s="1" t="n">
        <v>2.340133</v>
      </c>
      <c r="E3" s="1" t="n">
        <v>99.062092</v>
      </c>
      <c r="F3" s="1" t="n">
        <v>0.049642</v>
      </c>
      <c r="G3" s="1" t="n">
        <v>75.923</v>
      </c>
      <c r="H3" s="1" t="s">
        <v>150</v>
      </c>
    </row>
    <row r="4" customFormat="false" ht="15" hidden="false" customHeight="false" outlineLevel="0" collapsed="false">
      <c r="A4" s="1" t="s">
        <v>146</v>
      </c>
      <c r="B4" s="1" t="s">
        <v>151</v>
      </c>
      <c r="C4" s="1" t="s">
        <v>152</v>
      </c>
      <c r="D4" s="1" t="n">
        <v>2.335157</v>
      </c>
      <c r="E4" s="1" t="n">
        <v>99.056492</v>
      </c>
      <c r="F4" s="1" t="n">
        <v>0.031171</v>
      </c>
      <c r="G4" s="1" t="n">
        <v>33.584</v>
      </c>
      <c r="H4" s="1"/>
    </row>
    <row r="5" customFormat="false" ht="15" hidden="false" customHeight="false" outlineLevel="0" collapsed="false">
      <c r="A5" s="1" t="s">
        <v>146</v>
      </c>
      <c r="B5" s="1" t="s">
        <v>153</v>
      </c>
      <c r="C5" s="1" t="s">
        <v>152</v>
      </c>
      <c r="D5" s="1" t="n">
        <v>2.341117</v>
      </c>
      <c r="E5" s="1" t="n">
        <v>99.052531</v>
      </c>
      <c r="F5" s="1" t="n">
        <v>0.037734</v>
      </c>
      <c r="G5" s="1" t="n">
        <v>23.467</v>
      </c>
      <c r="H5" s="1"/>
    </row>
    <row r="6" customFormat="false" ht="15" hidden="false" customHeight="false" outlineLevel="0" collapsed="false">
      <c r="A6" s="1" t="s">
        <v>154</v>
      </c>
      <c r="B6" s="1" t="s">
        <v>155</v>
      </c>
      <c r="C6" s="1"/>
      <c r="D6" s="1" t="n">
        <v>2.357</v>
      </c>
      <c r="E6" s="1" t="n">
        <v>99.03</v>
      </c>
      <c r="F6" s="1"/>
      <c r="G6" s="1"/>
      <c r="H6" s="1" t="s">
        <v>156</v>
      </c>
    </row>
    <row r="7" customFormat="false" ht="15" hidden="false" customHeight="false" outlineLevel="0" collapsed="false">
      <c r="A7" s="1" t="s">
        <v>154</v>
      </c>
      <c r="B7" s="1" t="s">
        <v>157</v>
      </c>
      <c r="C7" s="1"/>
      <c r="D7" s="1" t="n">
        <v>2.345</v>
      </c>
      <c r="E7" s="1" t="n">
        <v>99.058</v>
      </c>
      <c r="F7" s="1" t="n">
        <v>0.014149</v>
      </c>
      <c r="G7" s="1" t="n">
        <v>29.6</v>
      </c>
      <c r="H7" s="1"/>
    </row>
    <row r="8" customFormat="false" ht="15" hidden="false" customHeight="false" outlineLevel="0" collapsed="false">
      <c r="A8" s="1" t="s">
        <v>154</v>
      </c>
      <c r="B8" s="1" t="s">
        <v>158</v>
      </c>
      <c r="C8" s="1"/>
      <c r="D8" s="1" t="n">
        <v>2.352</v>
      </c>
      <c r="E8" s="1" t="n">
        <v>99.02</v>
      </c>
      <c r="F8" s="1" t="n">
        <v>0.024414</v>
      </c>
      <c r="G8" s="1" t="n">
        <v>21.65</v>
      </c>
      <c r="H8" s="1"/>
    </row>
    <row r="9" customFormat="false" ht="15" hidden="false" customHeight="false" outlineLevel="0" collapsed="false">
      <c r="A9" s="1" t="s">
        <v>154</v>
      </c>
      <c r="B9" s="1" t="s">
        <v>159</v>
      </c>
      <c r="C9" s="1"/>
      <c r="D9" s="1" t="n">
        <v>2.392</v>
      </c>
      <c r="E9" s="1" t="n">
        <v>98.98</v>
      </c>
      <c r="F9" s="1" t="n">
        <v>0.018602</v>
      </c>
      <c r="G9" s="1" t="n">
        <v>27.95</v>
      </c>
      <c r="H9" s="1"/>
    </row>
    <row r="10" customFormat="false" ht="15" hidden="false" customHeight="false" outlineLevel="0" collapsed="false">
      <c r="A10" s="1" t="s">
        <v>154</v>
      </c>
      <c r="B10" s="1" t="s">
        <v>160</v>
      </c>
      <c r="C10" s="1"/>
      <c r="D10" s="1" t="n">
        <v>2.381</v>
      </c>
      <c r="E10" s="1" t="n">
        <v>99.14</v>
      </c>
      <c r="F10" s="1"/>
      <c r="G10" s="1"/>
      <c r="H10" s="1" t="s">
        <v>156</v>
      </c>
    </row>
    <row r="12" customFormat="false" ht="15" hidden="false" customHeight="false" outlineLevel="0" collapsed="false">
      <c r="A12" s="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62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5" t="s">
        <v>162</v>
      </c>
    </row>
    <row r="2" customFormat="false" ht="15" hidden="false" customHeight="false" outlineLevel="0" collapsed="false">
      <c r="A2" s="2" t="s">
        <v>163</v>
      </c>
      <c r="B2" s="2" t="s">
        <v>164</v>
      </c>
      <c r="C2" s="2" t="s">
        <v>165</v>
      </c>
      <c r="D2" s="2" t="s">
        <v>166</v>
      </c>
      <c r="E2" s="2" t="s">
        <v>167</v>
      </c>
      <c r="F2" s="2" t="s">
        <v>168</v>
      </c>
    </row>
    <row r="3" customFormat="false" ht="15" hidden="false" customHeight="false" outlineLevel="0" collapsed="false">
      <c r="A3" s="1" t="s">
        <v>4</v>
      </c>
      <c r="B3" s="1" t="s">
        <v>43</v>
      </c>
      <c r="C3" s="1" t="n">
        <f aca="false">COUNTIFS(V3_Utama!$D$2:$D$189,B3,V3_Utama!$H$2:$H$189,TRUE())</f>
        <v>72</v>
      </c>
      <c r="D3" s="6" t="n">
        <f aca="false" t="array" ref="D3:D3">MEDIAN(IF((V3_Utama!$D$2:$D$189=B3)*(V3_Utama!$H$2:$H$189=TRUE()),V3_Utama!$E$2:$E$189))</f>
        <v>0.0245915</v>
      </c>
      <c r="E3" s="6" t="n">
        <f aca="false">AVERAGEIFS(V3_Utama!$E$2:$E$189,V3_Utama!$D$2:$D$189,B3,V3_Utama!$H$2:$H$189,TRUE())</f>
        <v>0.0213004305555556</v>
      </c>
      <c r="F3" s="7" t="n">
        <f aca="false" t="array" ref="F3:F3">MEDIAN(IF((V3_Utama!$D$2:$D$189=B3)*(V3_Utama!$H$2:$H$189=TRUE()),V3_Utama!$F$2:$F$189))</f>
        <v>23.067</v>
      </c>
    </row>
    <row r="4" customFormat="false" ht="15" hidden="false" customHeight="false" outlineLevel="0" collapsed="false">
      <c r="A4" s="1" t="s">
        <v>4</v>
      </c>
      <c r="B4" s="1" t="s">
        <v>44</v>
      </c>
      <c r="C4" s="1" t="n">
        <f aca="false">COUNTIFS(V3_Utama!$D$2:$D$189,B4,V3_Utama!$H$2:$H$189,TRUE())</f>
        <v>78</v>
      </c>
      <c r="D4" s="6" t="n">
        <f aca="false" t="array" ref="D4:D4">MEDIAN(IF((V3_Utama!$D$2:$D$189=B4)*(V3_Utama!$H$2:$H$189=TRUE()),V3_Utama!$E$2:$E$189))</f>
        <v>0.020204</v>
      </c>
      <c r="E4" s="6" t="n">
        <f aca="false">AVERAGEIFS(V3_Utama!$E$2:$E$189,V3_Utama!$D$2:$D$189,B4,V3_Utama!$H$2:$H$189,TRUE())</f>
        <v>0.0195158205128205</v>
      </c>
      <c r="F4" s="7" t="n">
        <f aca="false" t="array" ref="F4:F4">MEDIAN(IF((V3_Utama!$D$2:$D$189=B4)*(V3_Utama!$H$2:$H$189=TRUE()),V3_Utama!$F$2:$F$189))</f>
        <v>21.05</v>
      </c>
    </row>
    <row r="5" customFormat="false" ht="15" hidden="false" customHeight="false" outlineLevel="0" collapsed="false">
      <c r="A5" s="1" t="s">
        <v>6</v>
      </c>
      <c r="B5" s="1" t="s">
        <v>43</v>
      </c>
      <c r="C5" s="1" t="n">
        <f aca="false">COUNTIFS(V1_Zona_Awal!$D$2:$D$189,B5,V1_Zona_Awal!$H$2:$H$189,TRUE())</f>
        <v>70</v>
      </c>
      <c r="D5" s="6" t="n">
        <f aca="false" t="array" ref="D5:D5">MEDIAN(IF((V1_Zona_Awal!$D$2:$D$189=B5)*(V1_Zona_Awal!$H$2:$H$189=TRUE()),V1_Zona_Awal!$E$2:$E$189))</f>
        <v>0.029515</v>
      </c>
      <c r="E5" s="6" t="n">
        <f aca="false">AVERAGEIFS(V1_Zona_Awal!$E$2:$E$189,V1_Zona_Awal!$D$2:$D$189,B5,V1_Zona_Awal!$H$2:$H$189,TRUE())</f>
        <v>0.0270398571428571</v>
      </c>
      <c r="F5" s="7" t="n">
        <f aca="false" t="array" ref="F5:F5">MEDIAN(IF((V1_Zona_Awal!$D$2:$D$189=B5)*(V1_Zona_Awal!$H$2:$H$189=TRUE()),V1_Zona_Awal!$F$2:$F$189))</f>
        <v>20.381</v>
      </c>
    </row>
    <row r="6" customFormat="false" ht="15" hidden="false" customHeight="false" outlineLevel="0" collapsed="false">
      <c r="A6" s="1" t="s">
        <v>6</v>
      </c>
      <c r="B6" s="1" t="s">
        <v>44</v>
      </c>
      <c r="C6" s="1" t="n">
        <f aca="false">COUNTIFS(V1_Zona_Awal!$D$2:$D$189,B6,V1_Zona_Awal!$H$2:$H$189,TRUE())</f>
        <v>77</v>
      </c>
      <c r="D6" s="6" t="n">
        <f aca="false" t="array" ref="D6:D6">MEDIAN(IF((V1_Zona_Awal!$D$2:$D$189=B6)*(V1_Zona_Awal!$H$2:$H$189=TRUE()),V1_Zona_Awal!$E$2:$E$189))</f>
        <v>0.019721</v>
      </c>
      <c r="E6" s="6" t="n">
        <f aca="false">AVERAGEIFS(V1_Zona_Awal!$E$2:$E$189,V1_Zona_Awal!$D$2:$D$189,B6,V1_Zona_Awal!$H$2:$H$189,TRUE())</f>
        <v>0.0227364675324675</v>
      </c>
      <c r="F6" s="7" t="n">
        <f aca="false" t="array" ref="F6:F6">MEDIAN(IF((V1_Zona_Awal!$D$2:$D$189=B6)*(V1_Zona_Awal!$H$2:$H$189=TRUE()),V1_Zona_Awal!$F$2:$F$189))</f>
        <v>30.98</v>
      </c>
    </row>
    <row r="7" customFormat="false" ht="15" hidden="false" customHeight="false" outlineLevel="0" collapsed="false">
      <c r="A7" s="1" t="s">
        <v>8</v>
      </c>
      <c r="B7" s="1" t="s">
        <v>43</v>
      </c>
      <c r="C7" s="1" t="n">
        <f aca="false">COUNTIFS(V2_Ditolak!$D$2:$D$189,B7,V2_Ditolak!$H$2:$H$189,TRUE())</f>
        <v>73</v>
      </c>
      <c r="D7" s="6" t="n">
        <f aca="false" t="array" ref="D7:D7">MEDIAN(IF((V2_Ditolak!$D$2:$D$189=B7)*(V2_Ditolak!$H$2:$H$189=TRUE()),V2_Ditolak!$E$2:$E$189))</f>
        <v>0.024697</v>
      </c>
      <c r="E7" s="6" t="n">
        <f aca="false">AVERAGEIFS(V2_Ditolak!$E$2:$E$189,V2_Ditolak!$D$2:$D$189,B7,V2_Ditolak!$H$2:$H$189,TRUE())</f>
        <v>0.020698602739726</v>
      </c>
      <c r="F7" s="7" t="n">
        <f aca="false" t="array" ref="F7:F7">MEDIAN(IF((V2_Ditolak!$D$2:$D$189=B7)*(V2_Ditolak!$H$2:$H$189=TRUE()),V2_Ditolak!$F$2:$F$189))</f>
        <v>23.68</v>
      </c>
    </row>
    <row r="8" customFormat="false" ht="15" hidden="false" customHeight="false" outlineLevel="0" collapsed="false">
      <c r="A8" s="1" t="s">
        <v>8</v>
      </c>
      <c r="B8" s="1" t="s">
        <v>44</v>
      </c>
      <c r="C8" s="1" t="n">
        <f aca="false">COUNTIFS(V2_Ditolak!$D$2:$D$189,B8,V2_Ditolak!$H$2:$H$189,TRUE())</f>
        <v>26</v>
      </c>
      <c r="D8" s="6" t="n">
        <f aca="false" t="array" ref="D8:D8">MEDIAN(IF((V2_Ditolak!$D$2:$D$189=B8)*(V2_Ditolak!$H$2:$H$189=TRUE()),V2_Ditolak!$E$2:$E$189))</f>
        <v>0.134945</v>
      </c>
      <c r="E8" s="6" t="n">
        <f aca="false">AVERAGEIFS(V2_Ditolak!$E$2:$E$189,V2_Ditolak!$D$2:$D$189,B8,V2_Ditolak!$H$2:$H$189,TRUE())</f>
        <v>0.129901115384615</v>
      </c>
      <c r="F8" s="7" t="n">
        <f aca="false" t="array" ref="F8:F8">MEDIAN(IF((V2_Ditolak!$D$2:$D$189=B8)*(V2_Ditolak!$H$2:$H$189=TRUE()),V2_Ditolak!$F$2:$F$189))</f>
        <v>69.742</v>
      </c>
    </row>
    <row r="10" customFormat="false" ht="15" hidden="false" customHeight="false" outlineLevel="0" collapsed="false">
      <c r="A10" s="8" t="s">
        <v>169</v>
      </c>
    </row>
    <row r="11" customFormat="false" ht="15" hidden="false" customHeight="false" outlineLevel="0" collapsed="false">
      <c r="A11" s="2" t="s">
        <v>170</v>
      </c>
      <c r="B11" s="2" t="s">
        <v>171</v>
      </c>
      <c r="C11" s="2" t="s">
        <v>172</v>
      </c>
      <c r="D11" s="2" t="s">
        <v>17</v>
      </c>
    </row>
    <row r="12" customFormat="false" ht="15" hidden="false" customHeight="false" outlineLevel="0" collapsed="false">
      <c r="A12" s="1" t="s">
        <v>173</v>
      </c>
      <c r="B12" s="1" t="s">
        <v>174</v>
      </c>
      <c r="C12" s="1" t="s">
        <v>175</v>
      </c>
      <c r="D12" s="1" t="s">
        <v>176</v>
      </c>
    </row>
    <row r="13" customFormat="false" ht="15" hidden="false" customHeight="false" outlineLevel="0" collapsed="false">
      <c r="A13" s="1" t="s">
        <v>173</v>
      </c>
      <c r="B13" s="1" t="s">
        <v>177</v>
      </c>
      <c r="C13" s="1" t="s">
        <v>178</v>
      </c>
      <c r="D13" s="1" t="s">
        <v>179</v>
      </c>
    </row>
    <row r="14" customFormat="false" ht="15" hidden="false" customHeight="false" outlineLevel="0" collapsed="false">
      <c r="A14" s="1" t="s">
        <v>173</v>
      </c>
      <c r="B14" s="1" t="s">
        <v>180</v>
      </c>
      <c r="C14" s="1" t="s">
        <v>181</v>
      </c>
      <c r="D14" s="1" t="s">
        <v>182</v>
      </c>
    </row>
    <row r="15" customFormat="false" ht="15" hidden="false" customHeight="false" outlineLevel="0" collapsed="false">
      <c r="A15" s="1" t="s">
        <v>183</v>
      </c>
      <c r="B15" s="1" t="s">
        <v>184</v>
      </c>
      <c r="C15" s="1" t="s">
        <v>185</v>
      </c>
      <c r="D15" s="1" t="s">
        <v>186</v>
      </c>
    </row>
    <row r="16" customFormat="false" ht="15" hidden="false" customHeight="false" outlineLevel="0" collapsed="false">
      <c r="A16" s="1" t="s">
        <v>183</v>
      </c>
      <c r="B16" s="1" t="s">
        <v>187</v>
      </c>
      <c r="C16" s="1" t="s">
        <v>188</v>
      </c>
      <c r="D16" s="1" t="s">
        <v>189</v>
      </c>
    </row>
    <row r="17" customFormat="false" ht="15" hidden="false" customHeight="false" outlineLevel="0" collapsed="false">
      <c r="A17" s="1" t="s">
        <v>190</v>
      </c>
      <c r="B17" s="1" t="s">
        <v>184</v>
      </c>
      <c r="C17" s="1" t="s">
        <v>191</v>
      </c>
      <c r="D17" s="1" t="s">
        <v>192</v>
      </c>
    </row>
    <row r="18" customFormat="false" ht="15" hidden="false" customHeight="false" outlineLevel="0" collapsed="false">
      <c r="A18" s="1" t="s">
        <v>190</v>
      </c>
      <c r="B18" s="1" t="s">
        <v>187</v>
      </c>
      <c r="C18" s="1" t="s">
        <v>193</v>
      </c>
      <c r="D18" s="1" t="s">
        <v>192</v>
      </c>
    </row>
    <row r="19" customFormat="false" ht="15" hidden="false" customHeight="false" outlineLevel="0" collapsed="false">
      <c r="A19" s="1" t="s">
        <v>194</v>
      </c>
      <c r="B19" s="1" t="s">
        <v>184</v>
      </c>
      <c r="C19" s="1" t="s">
        <v>195</v>
      </c>
      <c r="D19" s="1" t="s">
        <v>196</v>
      </c>
    </row>
    <row r="20" customFormat="false" ht="15" hidden="false" customHeight="false" outlineLevel="0" collapsed="false">
      <c r="A20" s="1" t="s">
        <v>194</v>
      </c>
      <c r="B20" s="1" t="s">
        <v>187</v>
      </c>
      <c r="C20" s="1" t="s">
        <v>197</v>
      </c>
      <c r="D20" s="1" t="s">
        <v>198</v>
      </c>
    </row>
    <row r="21" customFormat="false" ht="15" hidden="false" customHeight="false" outlineLevel="0" collapsed="false">
      <c r="A21" s="1" t="s">
        <v>199</v>
      </c>
      <c r="B21" s="1" t="s">
        <v>31</v>
      </c>
      <c r="C21" s="1" t="s">
        <v>200</v>
      </c>
      <c r="D21" s="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" t="s">
        <v>202</v>
      </c>
      <c r="B1" s="2" t="s">
        <v>203</v>
      </c>
      <c r="C1" s="2" t="s">
        <v>204</v>
      </c>
      <c r="D1" s="2" t="s">
        <v>205</v>
      </c>
    </row>
    <row r="2" customFormat="false" ht="15" hidden="false" customHeight="false" outlineLevel="0" collapsed="false">
      <c r="A2" s="1" t="s">
        <v>206</v>
      </c>
      <c r="B2" s="6" t="n">
        <f aca="false" t="array" ref="B2:B2">MEDIAN(IF((V3_Utama!$C$2:$C$189=1)*(V3_Utama!$D$2:$D$189="KJA")*(V3_Utama!$H$2:$H$189=TRUE()),V3_Utama!$E$2:$E$189))</f>
        <v>0.024336</v>
      </c>
      <c r="C2" s="6" t="n">
        <f aca="false" t="array" ref="C2:C2">MEDIAN(IF((V3_Utama!$C$2:$C$189=1)*(V3_Utama!$D$2:$D$189="Reference")*(V3_Utama!$H$2:$H$189=TRUE()),V3_Utama!$E$2:$E$189))</f>
        <v>0.0189005</v>
      </c>
      <c r="D2" s="1" t="n">
        <f aca="false">COUNTIFS(V3_Utama!$C$2:$C$189,1,V3_Utama!$D$2:$D$189,"KJA",V3_Utama!$H$2:$H$189,TRUE())</f>
        <v>7</v>
      </c>
    </row>
    <row r="3" customFormat="false" ht="15" hidden="false" customHeight="false" outlineLevel="0" collapsed="false">
      <c r="A3" s="1" t="s">
        <v>207</v>
      </c>
      <c r="B3" s="6" t="n">
        <f aca="false" t="array" ref="B3:B3">MEDIAN(IF((V3_Utama!$C$2:$C$189=2)*(V3_Utama!$D$2:$D$189="KJA")*(V3_Utama!$H$2:$H$189=TRUE()),V3_Utama!$E$2:$E$189))</f>
        <v>0.015302</v>
      </c>
      <c r="C3" s="6" t="n">
        <f aca="false" t="array" ref="C3:C3">MEDIAN(IF((V3_Utama!$C$2:$C$189=2)*(V3_Utama!$D$2:$D$189="Reference")*(V3_Utama!$H$2:$H$189=TRUE()),V3_Utama!$E$2:$E$189))</f>
        <v>0.002044</v>
      </c>
      <c r="D3" s="1" t="n">
        <f aca="false">COUNTIFS(V3_Utama!$C$2:$C$189,2,V3_Utama!$D$2:$D$189,"KJA",V3_Utama!$H$2:$H$189,TRUE())</f>
        <v>6</v>
      </c>
    </row>
    <row r="4" customFormat="false" ht="15" hidden="false" customHeight="false" outlineLevel="0" collapsed="false">
      <c r="A4" s="1" t="s">
        <v>208</v>
      </c>
      <c r="B4" s="6" t="n">
        <f aca="false" t="array" ref="B4:B4">MEDIAN(IF((V3_Utama!$C$2:$C$189=3)*(V3_Utama!$D$2:$D$189="KJA")*(V3_Utama!$H$2:$H$189=TRUE()),V3_Utama!$E$2:$E$189))</f>
        <v>0.022491</v>
      </c>
      <c r="C4" s="6" t="n">
        <f aca="false" t="array" ref="C4:C4">MEDIAN(IF((V3_Utama!$C$2:$C$189=3)*(V3_Utama!$D$2:$D$189="Reference")*(V3_Utama!$H$2:$H$189=TRUE()),V3_Utama!$E$2:$E$189))</f>
        <v>0.007966</v>
      </c>
      <c r="D4" s="1" t="n">
        <f aca="false">COUNTIFS(V3_Utama!$C$2:$C$189,3,V3_Utama!$D$2:$D$189,"KJA",V3_Utama!$H$2:$H$189,TRUE())</f>
        <v>7</v>
      </c>
    </row>
    <row r="5" customFormat="false" ht="15" hidden="false" customHeight="false" outlineLevel="0" collapsed="false">
      <c r="A5" s="1" t="s">
        <v>209</v>
      </c>
      <c r="B5" s="6" t="n">
        <f aca="false" t="array" ref="B5:B5">MEDIAN(IF((V3_Utama!$C$2:$C$189=4)*(V3_Utama!$D$2:$D$189="KJA")*(V3_Utama!$H$2:$H$189=TRUE()),V3_Utama!$E$2:$E$189))</f>
        <v>0.018965</v>
      </c>
      <c r="C5" s="6" t="n">
        <f aca="false" t="array" ref="C5:C5">MEDIAN(IF((V3_Utama!$C$2:$C$189=4)*(V3_Utama!$D$2:$D$189="Reference")*(V3_Utama!$H$2:$H$189=TRUE()),V3_Utama!$E$2:$E$189))</f>
        <v>0.01365</v>
      </c>
      <c r="D5" s="1" t="n">
        <f aca="false">COUNTIFS(V3_Utama!$C$2:$C$189,4,V3_Utama!$D$2:$D$189,"KJA",V3_Utama!$H$2:$H$189,TRUE())</f>
        <v>7</v>
      </c>
    </row>
    <row r="6" customFormat="false" ht="15" hidden="false" customHeight="false" outlineLevel="0" collapsed="false">
      <c r="A6" s="1" t="s">
        <v>210</v>
      </c>
      <c r="B6" s="6" t="n">
        <f aca="false" t="array" ref="B6:B6">MEDIAN(IF((V3_Utama!$C$2:$C$189=5)*(V3_Utama!$D$2:$D$189="KJA")*(V3_Utama!$H$2:$H$189=TRUE()),V3_Utama!$E$2:$E$189))</f>
        <v>0.0127405</v>
      </c>
      <c r="C6" s="6" t="n">
        <f aca="false" t="array" ref="C6:C6">MEDIAN(IF((V3_Utama!$C$2:$C$189=5)*(V3_Utama!$D$2:$D$189="Reference")*(V3_Utama!$H$2:$H$189=TRUE()),V3_Utama!$E$2:$E$189))</f>
        <v>0.024485</v>
      </c>
      <c r="D6" s="1" t="n">
        <f aca="false">COUNTIFS(V3_Utama!$C$2:$C$189,5,V3_Utama!$D$2:$D$189,"KJA",V3_Utama!$H$2:$H$189,TRUE())</f>
        <v>6</v>
      </c>
    </row>
    <row r="7" customFormat="false" ht="15" hidden="false" customHeight="false" outlineLevel="0" collapsed="false">
      <c r="A7" s="1" t="s">
        <v>211</v>
      </c>
      <c r="B7" s="6" t="n">
        <f aca="false" t="array" ref="B7:B7">MEDIAN(IF((V3_Utama!$C$2:$C$189=6)*(V3_Utama!$D$2:$D$189="KJA")*(V3_Utama!$H$2:$H$189=TRUE()),V3_Utama!$E$2:$E$189))</f>
        <v>0.049441</v>
      </c>
      <c r="C7" s="6" t="n">
        <f aca="false" t="array" ref="C7:C7">MEDIAN(IF((V3_Utama!$C$2:$C$189=6)*(V3_Utama!$D$2:$D$189="Reference")*(V3_Utama!$H$2:$H$189=TRUE()),V3_Utama!$E$2:$E$189))</f>
        <v>0.02347</v>
      </c>
      <c r="D7" s="1" t="n">
        <f aca="false">COUNTIFS(V3_Utama!$C$2:$C$189,6,V3_Utama!$D$2:$D$189,"KJA",V3_Utama!$H$2:$H$189,TRUE())</f>
        <v>6</v>
      </c>
    </row>
    <row r="8" customFormat="false" ht="15" hidden="false" customHeight="false" outlineLevel="0" collapsed="false">
      <c r="A8" s="1" t="s">
        <v>212</v>
      </c>
      <c r="B8" s="6" t="n">
        <f aca="false" t="array" ref="B8:B8">MEDIAN(IF((V3_Utama!$C$2:$C$189=7)*(V3_Utama!$D$2:$D$189="KJA")*(V3_Utama!$H$2:$H$189=TRUE()),V3_Utama!$E$2:$E$189))</f>
        <v>0.0244295</v>
      </c>
      <c r="C8" s="6" t="n">
        <f aca="false" t="array" ref="C8:C8">MEDIAN(IF((V3_Utama!$C$2:$C$189=7)*(V3_Utama!$D$2:$D$189="Reference")*(V3_Utama!$H$2:$H$189=TRUE()),V3_Utama!$E$2:$E$189))</f>
        <v>0.0158425</v>
      </c>
      <c r="D8" s="1" t="n">
        <f aca="false">COUNTIFS(V3_Utama!$C$2:$C$189,7,V3_Utama!$D$2:$D$189,"KJA",V3_Utama!$H$2:$H$189,TRUE())</f>
        <v>8</v>
      </c>
    </row>
    <row r="9" customFormat="false" ht="15" hidden="false" customHeight="false" outlineLevel="0" collapsed="false">
      <c r="A9" s="1" t="s">
        <v>213</v>
      </c>
      <c r="B9" s="6" t="n">
        <f aca="false" t="array" ref="B9:B9">MEDIAN(IF((V3_Utama!$C$2:$C$189=8)*(V3_Utama!$D$2:$D$189="KJA")*(V3_Utama!$H$2:$H$189=TRUE()),V3_Utama!$E$2:$E$189))</f>
        <v>0.027234</v>
      </c>
      <c r="C9" s="6" t="n">
        <f aca="false" t="array" ref="C9:C9">MEDIAN(IF((V3_Utama!$C$2:$C$189=8)*(V3_Utama!$D$2:$D$189="Reference")*(V3_Utama!$H$2:$H$189=TRUE()),V3_Utama!$E$2:$E$189))</f>
        <v>0.021132</v>
      </c>
      <c r="D9" s="1" t="n">
        <f aca="false">COUNTIFS(V3_Utama!$C$2:$C$189,8,V3_Utama!$D$2:$D$189,"KJA",V3_Utama!$H$2:$H$189,TRUE())</f>
        <v>8</v>
      </c>
    </row>
    <row r="10" customFormat="false" ht="15" hidden="false" customHeight="false" outlineLevel="0" collapsed="false">
      <c r="A10" s="1" t="s">
        <v>214</v>
      </c>
      <c r="B10" s="6" t="n">
        <f aca="false" t="array" ref="B10:B10">MEDIAN(IF((V3_Utama!$C$2:$C$189=9)*(V3_Utama!$D$2:$D$189="KJA")*(V3_Utama!$H$2:$H$189=TRUE()),V3_Utama!$E$2:$E$189))</f>
        <v>0.024421</v>
      </c>
      <c r="C10" s="6" t="n">
        <f aca="false" t="array" ref="C10:C10">MEDIAN(IF((V3_Utama!$C$2:$C$189=9)*(V3_Utama!$D$2:$D$189="Reference")*(V3_Utama!$H$2:$H$189=TRUE()),V3_Utama!$E$2:$E$189))</f>
        <v>0.024451</v>
      </c>
      <c r="D10" s="1" t="n">
        <f aca="false">COUNTIFS(V3_Utama!$C$2:$C$189,9,V3_Utama!$D$2:$D$189,"KJA",V3_Utama!$H$2:$H$189,TRUE())</f>
        <v>6</v>
      </c>
    </row>
    <row r="11" customFormat="false" ht="15" hidden="false" customHeight="false" outlineLevel="0" collapsed="false">
      <c r="A11" s="1" t="s">
        <v>215</v>
      </c>
      <c r="B11" s="6" t="n">
        <f aca="false" t="array" ref="B11:B11">MEDIAN(IF((V3_Utama!$C$2:$C$189=10)*(V3_Utama!$D$2:$D$189="KJA")*(V3_Utama!$H$2:$H$189=TRUE()),V3_Utama!$E$2:$E$189))</f>
        <v>0.0330545</v>
      </c>
      <c r="C11" s="6" t="n">
        <f aca="false" t="array" ref="C11:C11">MEDIAN(IF((V3_Utama!$C$2:$C$189=10)*(V3_Utama!$D$2:$D$189="Reference")*(V3_Utama!$H$2:$H$189=TRUE()),V3_Utama!$E$2:$E$189))</f>
        <v>-0.003577</v>
      </c>
      <c r="D11" s="1" t="n">
        <f aca="false">COUNTIFS(V3_Utama!$C$2:$C$189,10,V3_Utama!$D$2:$D$189,"KJA",V3_Utama!$H$2:$H$189,TRUE())</f>
        <v>4</v>
      </c>
    </row>
    <row r="12" customFormat="false" ht="15" hidden="false" customHeight="false" outlineLevel="0" collapsed="false">
      <c r="A12" s="1" t="s">
        <v>216</v>
      </c>
      <c r="B12" s="6" t="n">
        <f aca="false" t="array" ref="B12:B12">MEDIAN(IF((V3_Utama!$C$2:$C$189=11)*(V3_Utama!$D$2:$D$189="KJA")*(V3_Utama!$H$2:$H$189=TRUE()),V3_Utama!$E$2:$E$189))</f>
        <v>0.025109</v>
      </c>
      <c r="C12" s="6" t="n">
        <f aca="false" t="array" ref="C12:C12">MEDIAN(IF((V3_Utama!$C$2:$C$189=11)*(V3_Utama!$D$2:$D$189="Reference")*(V3_Utama!$H$2:$H$189=TRUE()),V3_Utama!$E$2:$E$189))</f>
        <v>0.0332</v>
      </c>
      <c r="D12" s="1" t="n">
        <f aca="false">COUNTIFS(V3_Utama!$C$2:$C$189,11,V3_Utama!$D$2:$D$189,"KJA",V3_Utama!$H$2:$H$189,TRUE())</f>
        <v>3</v>
      </c>
    </row>
    <row r="13" customFormat="false" ht="15" hidden="false" customHeight="false" outlineLevel="0" collapsed="false">
      <c r="A13" s="1" t="s">
        <v>217</v>
      </c>
      <c r="B13" s="6" t="n">
        <f aca="false" t="array" ref="B13:B13">MEDIAN(IF((V3_Utama!$C$2:$C$189=12)*(V3_Utama!$D$2:$D$189="KJA")*(V3_Utama!$H$2:$H$189=TRUE()),V3_Utama!$E$2:$E$189))</f>
        <v>0.0379525</v>
      </c>
      <c r="C13" s="6" t="n">
        <f aca="false" t="array" ref="C13:C13">MEDIAN(IF((V3_Utama!$C$2:$C$189=12)*(V3_Utama!$D$2:$D$189="Reference")*(V3_Utama!$H$2:$H$189=TRUE()),V3_Utama!$E$2:$E$189))</f>
        <v>0.022083</v>
      </c>
      <c r="D13" s="1" t="n">
        <f aca="false">COUNTIFS(V3_Utama!$C$2:$C$189,12,V3_Utama!$D$2:$D$189,"KJA",V3_Utama!$H$2:$H$189,TRUE())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2026-10-12T14:41:35Z</dcterms:created>
  <dc:creator>openpyxl</dc:creator>
  <dc:description/>
  <dc:language>en-US</dc:language>
  <cp:lastModifiedBy/>
  <dcterms:modified xsi:type="dcterms:W3CDTF">2026-10-12T14:41:35Z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